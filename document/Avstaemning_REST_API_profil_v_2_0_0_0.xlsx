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wsl.localhost\Ubuntu-24.04\home\mats\repos\rest-api-profil-lint-processor\document\"/>
    </mc:Choice>
  </mc:AlternateContent>
  <xr:revisionPtr revIDLastSave="0" documentId="13_ncr:1_{6950323E-8A3E-41A5-AA53-92EF5CA6F13D}" xr6:coauthVersionLast="47" xr6:coauthVersionMax="47" xr10:uidLastSave="{00000000-0000-0000-0000-000000000000}"/>
  <bookViews>
    <workbookView xWindow="23190" yWindow="0" windowWidth="15315" windowHeight="20985" tabRatio="500" xr2:uid="{00000000-000D-0000-FFFF-FFFF00000000}"/>
  </bookViews>
  <sheets>
    <sheet name="Info" sheetId="1" r:id="rId1"/>
    <sheet name="Kravlista REST API profil" sheetId="2" r:id="rId2"/>
  </sheets>
  <definedNames>
    <definedName name="_xlnm._FilterDatabase" localSheetId="1" hidden="1">'Kravlista REST API profil'!$A$1:$F$1</definedName>
    <definedName name="profilversion">"2.0.0"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3" i="1" l="1"/>
  <c r="L48" i="1"/>
  <c r="K48" i="1"/>
  <c r="J48" i="1"/>
  <c r="I48" i="1"/>
  <c r="H48" i="1"/>
  <c r="E48" i="1"/>
  <c r="D48" i="1"/>
  <c r="C48" i="1"/>
  <c r="B48" i="1"/>
  <c r="A48" i="1"/>
  <c r="A49" i="1" s="1"/>
  <c r="L47" i="1"/>
  <c r="K47" i="1"/>
  <c r="J47" i="1"/>
  <c r="I47" i="1"/>
  <c r="H47" i="1"/>
  <c r="E47" i="1"/>
  <c r="D47" i="1"/>
  <c r="C47" i="1"/>
  <c r="B47" i="1"/>
  <c r="A47" i="1"/>
  <c r="H46" i="1"/>
  <c r="A46" i="1"/>
  <c r="L43" i="1"/>
  <c r="K43" i="1"/>
  <c r="J43" i="1"/>
  <c r="I43" i="1"/>
  <c r="H43" i="1"/>
  <c r="E43" i="1"/>
  <c r="D43" i="1"/>
  <c r="C43" i="1"/>
  <c r="B43" i="1"/>
  <c r="A43" i="1"/>
  <c r="L42" i="1"/>
  <c r="K42" i="1"/>
  <c r="J42" i="1"/>
  <c r="I42" i="1"/>
  <c r="H42" i="1"/>
  <c r="E42" i="1"/>
  <c r="D42" i="1"/>
  <c r="C42" i="1"/>
  <c r="B42" i="1"/>
  <c r="A42" i="1"/>
  <c r="H41" i="1"/>
  <c r="A41" i="1"/>
  <c r="L38" i="1"/>
  <c r="K38" i="1"/>
  <c r="J38" i="1"/>
  <c r="I38" i="1"/>
  <c r="H38" i="1"/>
  <c r="E38" i="1"/>
  <c r="D38" i="1"/>
  <c r="C38" i="1"/>
  <c r="B38" i="1"/>
  <c r="A38" i="1"/>
  <c r="L37" i="1"/>
  <c r="K37" i="1"/>
  <c r="J37" i="1"/>
  <c r="I37" i="1"/>
  <c r="H37" i="1"/>
  <c r="E37" i="1"/>
  <c r="D37" i="1"/>
  <c r="C37" i="1"/>
  <c r="B37" i="1"/>
  <c r="A37" i="1"/>
  <c r="H36" i="1"/>
  <c r="A36" i="1"/>
  <c r="L33" i="1"/>
  <c r="K33" i="1"/>
  <c r="J33" i="1"/>
  <c r="I33" i="1"/>
  <c r="H33" i="1"/>
  <c r="E33" i="1"/>
  <c r="D33" i="1"/>
  <c r="C33" i="1"/>
  <c r="B33" i="1"/>
  <c r="A33" i="1"/>
  <c r="L32" i="1"/>
  <c r="K32" i="1"/>
  <c r="J32" i="1"/>
  <c r="I32" i="1"/>
  <c r="H32" i="1"/>
  <c r="E32" i="1"/>
  <c r="D32" i="1"/>
  <c r="C32" i="1"/>
  <c r="B32" i="1"/>
  <c r="A32" i="1"/>
  <c r="H31" i="1"/>
  <c r="A31" i="1"/>
  <c r="L28" i="1"/>
  <c r="K28" i="1"/>
  <c r="J28" i="1"/>
  <c r="I28" i="1"/>
  <c r="H28" i="1"/>
  <c r="H29" i="1" s="1"/>
  <c r="E28" i="1"/>
  <c r="D28" i="1"/>
  <c r="C28" i="1"/>
  <c r="B28" i="1"/>
  <c r="A28" i="1"/>
  <c r="L27" i="1"/>
  <c r="K27" i="1"/>
  <c r="J27" i="1"/>
  <c r="I27" i="1"/>
  <c r="H27" i="1"/>
  <c r="E27" i="1"/>
  <c r="D27" i="1"/>
  <c r="C27" i="1"/>
  <c r="B27" i="1"/>
  <c r="A27" i="1"/>
  <c r="H26" i="1"/>
  <c r="A26" i="1"/>
  <c r="L23" i="1"/>
  <c r="K23" i="1"/>
  <c r="J23" i="1"/>
  <c r="I23" i="1"/>
  <c r="H23" i="1"/>
  <c r="E23" i="1"/>
  <c r="D23" i="1"/>
  <c r="C23" i="1"/>
  <c r="B23" i="1"/>
  <c r="A23" i="1"/>
  <c r="A24" i="1" s="1"/>
  <c r="L22" i="1"/>
  <c r="K22" i="1"/>
  <c r="J22" i="1"/>
  <c r="I22" i="1"/>
  <c r="H22" i="1"/>
  <c r="E22" i="1"/>
  <c r="D22" i="1"/>
  <c r="C22" i="1"/>
  <c r="B22" i="1"/>
  <c r="A22" i="1"/>
  <c r="H21" i="1"/>
  <c r="A21" i="1"/>
  <c r="L18" i="1"/>
  <c r="K18" i="1"/>
  <c r="J18" i="1"/>
  <c r="I18" i="1"/>
  <c r="H18" i="1"/>
  <c r="E18" i="1"/>
  <c r="D18" i="1"/>
  <c r="C18" i="1"/>
  <c r="B18" i="1"/>
  <c r="A18" i="1"/>
  <c r="A19" i="1" s="1"/>
  <c r="L17" i="1"/>
  <c r="K17" i="1"/>
  <c r="J17" i="1"/>
  <c r="I17" i="1"/>
  <c r="H17" i="1"/>
  <c r="E17" i="1"/>
  <c r="D17" i="1"/>
  <c r="C17" i="1"/>
  <c r="B17" i="1"/>
  <c r="A17" i="1"/>
  <c r="H16" i="1"/>
  <c r="A16" i="1"/>
  <c r="L13" i="1"/>
  <c r="K13" i="1"/>
  <c r="J13" i="1"/>
  <c r="I13" i="1"/>
  <c r="H13" i="1"/>
  <c r="E13" i="1"/>
  <c r="D13" i="1"/>
  <c r="C13" i="1"/>
  <c r="B13" i="1"/>
  <c r="A13" i="1"/>
  <c r="C14" i="1" s="1"/>
  <c r="L12" i="1"/>
  <c r="K12" i="1"/>
  <c r="J12" i="1"/>
  <c r="I12" i="1"/>
  <c r="H12" i="1"/>
  <c r="E12" i="1"/>
  <c r="D12" i="1"/>
  <c r="C12" i="1"/>
  <c r="B12" i="1"/>
  <c r="A12" i="1"/>
  <c r="H11" i="1"/>
  <c r="A11" i="1"/>
  <c r="E7" i="1"/>
  <c r="D7" i="1"/>
  <c r="C7" i="1"/>
  <c r="B7" i="1"/>
  <c r="A7" i="1"/>
  <c r="H34" i="1" l="1"/>
  <c r="H49" i="1"/>
  <c r="H19" i="1"/>
  <c r="H14" i="1"/>
  <c r="C44" i="1"/>
  <c r="A39" i="1"/>
  <c r="B24" i="1"/>
  <c r="C24" i="1"/>
  <c r="I34" i="1"/>
  <c r="D24" i="1"/>
  <c r="E24" i="1"/>
  <c r="L34" i="1"/>
  <c r="I19" i="1"/>
  <c r="J19" i="1"/>
  <c r="L19" i="1"/>
  <c r="B39" i="1"/>
  <c r="C39" i="1"/>
  <c r="D39" i="1"/>
  <c r="H44" i="1"/>
  <c r="C29" i="1"/>
  <c r="C34" i="1"/>
  <c r="E39" i="1"/>
  <c r="D14" i="1"/>
  <c r="E14" i="1"/>
  <c r="D49" i="1"/>
  <c r="I14" i="1"/>
  <c r="K19" i="1"/>
  <c r="E29" i="1"/>
  <c r="D44" i="1"/>
  <c r="J14" i="1"/>
  <c r="J24" i="1"/>
  <c r="E44" i="1"/>
  <c r="K24" i="1"/>
  <c r="J39" i="1"/>
  <c r="E8" i="1"/>
  <c r="L29" i="1"/>
  <c r="K44" i="1"/>
  <c r="L44" i="1"/>
  <c r="D34" i="1"/>
  <c r="B19" i="1"/>
  <c r="C19" i="1"/>
  <c r="A34" i="1"/>
  <c r="D19" i="1"/>
  <c r="C49" i="1"/>
  <c r="E49" i="1"/>
  <c r="A8" i="1"/>
  <c r="C8" i="1"/>
  <c r="L14" i="1"/>
  <c r="L24" i="1"/>
  <c r="J29" i="1"/>
  <c r="K39" i="1"/>
  <c r="I44" i="1"/>
  <c r="K49" i="1"/>
  <c r="B14" i="1"/>
  <c r="B34" i="1"/>
  <c r="E19" i="1"/>
  <c r="B49" i="1"/>
  <c r="E34" i="1"/>
  <c r="B44" i="1"/>
  <c r="D29" i="1"/>
  <c r="I49" i="1"/>
  <c r="K14" i="1"/>
  <c r="I29" i="1"/>
  <c r="K34" i="1"/>
  <c r="J49" i="1"/>
  <c r="D8" i="1"/>
  <c r="K29" i="1"/>
  <c r="J44" i="1"/>
  <c r="L49" i="1"/>
  <c r="A29" i="1"/>
  <c r="A44" i="1"/>
  <c r="B29" i="1"/>
  <c r="B8" i="1"/>
  <c r="A14" i="1"/>
  <c r="H24" i="1"/>
  <c r="I24" i="1"/>
  <c r="L39" i="1"/>
  <c r="I39" i="1"/>
  <c r="H39" i="1"/>
  <c r="J34" i="1"/>
</calcChain>
</file>

<file path=xl/sharedStrings.xml><?xml version="1.0" encoding="utf-8"?>
<sst xmlns="http://schemas.openxmlformats.org/spreadsheetml/2006/main" count="729" uniqueCount="386">
  <si>
    <t>Information</t>
  </si>
  <si>
    <r>
      <rPr>
        <sz val="11"/>
        <color theme="1"/>
        <rFont val="Calibri"/>
        <family val="2"/>
        <charset val="1"/>
      </rPr>
      <t xml:space="preserve">Värden i nedan tabeller ska inte förändras! 
Data hämtas från fliken </t>
    </r>
    <r>
      <rPr>
        <i/>
        <sz val="11"/>
        <color theme="1"/>
        <rFont val="Calibri"/>
        <family val="2"/>
        <charset val="1"/>
      </rPr>
      <t>Kravlista REST API profil.</t>
    </r>
    <r>
      <rPr>
        <sz val="11"/>
        <color theme="1"/>
        <rFont val="Calibri"/>
        <family val="2"/>
        <charset val="1"/>
      </rPr>
      <t xml:space="preserve"> 
Det är också där avstämning sker gentemot ert API, 
dvs där värde för </t>
    </r>
    <r>
      <rPr>
        <i/>
        <sz val="11"/>
        <color theme="1"/>
        <rFont val="Calibri"/>
        <family val="2"/>
        <charset val="1"/>
      </rPr>
      <t>Status</t>
    </r>
    <r>
      <rPr>
        <sz val="11"/>
        <color theme="1"/>
        <rFont val="Calibri"/>
        <family val="2"/>
        <charset val="1"/>
      </rPr>
      <t xml:space="preserve"> anges per krav.</t>
    </r>
  </si>
  <si>
    <t>Avstämning av krav</t>
  </si>
  <si>
    <r>
      <rPr>
        <b/>
        <sz val="11"/>
        <color theme="1"/>
        <rFont val="Calibri"/>
        <family val="2"/>
        <charset val="1"/>
      </rPr>
      <t xml:space="preserve">Fördelning per status för </t>
    </r>
    <r>
      <rPr>
        <b/>
        <u/>
        <sz val="11"/>
        <color theme="1"/>
        <rFont val="Calibri"/>
        <family val="2"/>
        <charset val="1"/>
      </rPr>
      <t>alla krav</t>
    </r>
  </si>
  <si>
    <t>-</t>
  </si>
  <si>
    <t>OK</t>
  </si>
  <si>
    <t>Pågående</t>
  </si>
  <si>
    <t>NOK</t>
  </si>
  <si>
    <t>N/A</t>
  </si>
  <si>
    <t>antal</t>
  </si>
  <si>
    <t>andel</t>
  </si>
  <si>
    <t>Fördelning per område</t>
  </si>
  <si>
    <t>Område</t>
  </si>
  <si>
    <t>ID</t>
  </si>
  <si>
    <t>Krav</t>
  </si>
  <si>
    <t>Typ</t>
  </si>
  <si>
    <t>Status</t>
  </si>
  <si>
    <t>Kommentar</t>
  </si>
  <si>
    <t>Dokumentation</t>
  </si>
  <si>
    <t>DOK.01</t>
  </si>
  <si>
    <r>
      <rPr>
        <sz val="12"/>
        <color theme="1"/>
        <rFont val="Calibri"/>
        <family val="2"/>
        <charset val="1"/>
      </rPr>
      <t>I regel </t>
    </r>
    <r>
      <rPr>
        <b/>
        <sz val="12"/>
        <color theme="1"/>
        <rFont val="Calibri"/>
        <family val="2"/>
        <charset val="1"/>
      </rPr>
      <t>BÖR</t>
    </r>
    <r>
      <rPr>
        <sz val="12"/>
        <color theme="1"/>
        <rFont val="Calibri"/>
        <family val="2"/>
        <charset val="1"/>
      </rPr>
      <t> dokumentationen och specifikationen för ett API finnas allmänt tillgänglig online. </t>
    </r>
  </si>
  <si>
    <t>BÖR</t>
  </si>
  <si>
    <t>DOK.02</t>
  </si>
  <si>
    <r>
      <rPr>
        <sz val="12"/>
        <color theme="1"/>
        <rFont val="Calibri"/>
        <family val="2"/>
        <charset val="1"/>
      </rPr>
      <t>Vidare </t>
    </r>
    <r>
      <rPr>
        <b/>
        <sz val="12"/>
        <color theme="1"/>
        <rFont val="Calibri"/>
        <family val="2"/>
        <charset val="1"/>
      </rPr>
      <t>BÖR</t>
    </r>
    <r>
      <rPr>
        <sz val="12"/>
        <color theme="1"/>
        <rFont val="Calibri"/>
        <family val="2"/>
        <charset val="1"/>
      </rPr>
      <t> ett API:s dokumentation och specifikation finnas sökbara via Sveriges dataportal.</t>
    </r>
  </si>
  <si>
    <t>API dokumentation</t>
  </si>
  <si>
    <t>DOK.03</t>
  </si>
  <si>
    <r>
      <rPr>
        <sz val="12"/>
        <color theme="1"/>
        <rFont val="Calibri"/>
        <family val="2"/>
        <charset val="1"/>
      </rPr>
      <t>Dokumentationen för ett API </t>
    </r>
    <r>
      <rPr>
        <b/>
        <sz val="12"/>
        <color theme="1"/>
        <rFont val="Calibri"/>
        <family val="2"/>
        <charset val="1"/>
      </rPr>
      <t>SKALL </t>
    </r>
    <r>
      <rPr>
        <sz val="12"/>
        <color theme="1"/>
        <rFont val="Calibri"/>
        <family val="2"/>
        <charset val="1"/>
      </rPr>
      <t>innehålla följande:
• Om API
• Användarvillkor
• Datamodell för representation av resurser
• Krav på autentisering
• Livscykelhantering och versionshantering
• Kontaktuppgifter</t>
    </r>
  </si>
  <si>
    <t>SKALL</t>
  </si>
  <si>
    <t>DOK.04</t>
  </si>
  <si>
    <r>
      <rPr>
        <sz val="12"/>
        <color theme="1"/>
        <rFont val="Calibri"/>
        <family val="2"/>
        <charset val="1"/>
      </rPr>
      <t>Dokumentationen och i synnerhet specifikationen </t>
    </r>
    <r>
      <rPr>
        <b/>
        <sz val="12"/>
        <color theme="1"/>
        <rFont val="Calibri"/>
        <family val="2"/>
        <charset val="1"/>
      </rPr>
      <t>SKALL </t>
    </r>
    <r>
      <rPr>
        <sz val="12"/>
        <color theme="1"/>
        <rFont val="Calibri"/>
        <family val="2"/>
        <charset val="1"/>
      </rPr>
      <t>ses som ett kontrakt mellan designer och utvecklare samt mellan producent och konsument av API:et.</t>
    </r>
  </si>
  <si>
    <t>DOK.05</t>
  </si>
  <si>
    <r>
      <rPr>
        <sz val="12"/>
        <color theme="1"/>
        <rFont val="Calibri"/>
        <family val="2"/>
        <charset val="1"/>
      </rPr>
      <t>Dokumentationen </t>
    </r>
    <r>
      <rPr>
        <b/>
        <sz val="12"/>
        <color theme="1"/>
        <rFont val="Calibri"/>
        <family val="2"/>
        <charset val="1"/>
      </rPr>
      <t>SKALL </t>
    </r>
    <r>
      <rPr>
        <sz val="12"/>
        <color theme="1"/>
        <rFont val="Calibri"/>
        <family val="2"/>
        <charset val="1"/>
      </rPr>
      <t>versionshanteras tillsammans med API:et.</t>
    </r>
  </si>
  <si>
    <t>DOK.06</t>
  </si>
  <si>
    <r>
      <rPr>
        <sz val="12"/>
        <color theme="1"/>
        <rFont val="Calibri"/>
        <family val="2"/>
        <charset val="1"/>
      </rPr>
      <t>Dokumentationen </t>
    </r>
    <r>
      <rPr>
        <b/>
        <sz val="12"/>
        <color theme="1"/>
        <rFont val="Calibri"/>
        <family val="2"/>
        <charset val="1"/>
      </rPr>
      <t>BÖR </t>
    </r>
    <r>
      <rPr>
        <sz val="12"/>
        <color theme="1"/>
        <rFont val="Calibri"/>
        <family val="2"/>
        <charset val="1"/>
      </rPr>
      <t>finnas på både svenska och engelska.</t>
    </r>
  </si>
  <si>
    <t>DOK.07</t>
  </si>
  <si>
    <r>
      <rPr>
        <sz val="12"/>
        <color theme="1"/>
        <rFont val="Calibri"/>
        <family val="2"/>
        <charset val="1"/>
      </rPr>
      <t>Dokumentationen av ett API </t>
    </r>
    <r>
      <rPr>
        <b/>
        <sz val="12"/>
        <color theme="1"/>
        <rFont val="Calibri"/>
        <family val="2"/>
        <charset val="1"/>
      </rPr>
      <t>BÖR </t>
    </r>
    <r>
      <rPr>
        <sz val="12"/>
        <color theme="1"/>
        <rFont val="Calibri"/>
        <family val="2"/>
        <charset val="1"/>
      </rPr>
      <t>innehålla övergripande information om API:et.</t>
    </r>
  </si>
  <si>
    <t>DOK.08</t>
  </si>
  <si>
    <r>
      <rPr>
        <sz val="12"/>
        <color theme="1"/>
        <rFont val="Calibri"/>
        <family val="2"/>
        <charset val="1"/>
      </rPr>
      <t>Ett API:s servicenivå </t>
    </r>
    <r>
      <rPr>
        <b/>
        <sz val="12"/>
        <color theme="1"/>
        <rFont val="Calibri"/>
        <family val="2"/>
        <charset val="1"/>
      </rPr>
      <t>SKALL </t>
    </r>
    <r>
      <rPr>
        <sz val="12"/>
        <color theme="1"/>
        <rFont val="Calibri"/>
        <family val="2"/>
        <charset val="1"/>
      </rPr>
      <t>finnas tydligt beskrivna i dokumentationen.</t>
    </r>
  </si>
  <si>
    <t>DOK.09</t>
  </si>
  <si>
    <r>
      <rPr>
        <sz val="12"/>
        <color theme="1"/>
        <rFont val="Calibri"/>
        <family val="2"/>
        <charset val="1"/>
      </rPr>
      <t>Kända problem och begränsningar </t>
    </r>
    <r>
      <rPr>
        <b/>
        <sz val="12"/>
        <color theme="1"/>
        <rFont val="Calibri"/>
        <family val="2"/>
        <charset val="1"/>
      </rPr>
      <t>SKALL </t>
    </r>
    <r>
      <rPr>
        <sz val="12"/>
        <color theme="1"/>
        <rFont val="Calibri"/>
        <family val="2"/>
        <charset val="1"/>
      </rPr>
      <t>finnas tydlig beskrivning dokumentationen.</t>
    </r>
  </si>
  <si>
    <t>DOK.10</t>
  </si>
  <si>
    <r>
      <rPr>
        <sz val="12"/>
        <color theme="1"/>
        <rFont val="Calibri"/>
        <family val="2"/>
        <charset val="1"/>
      </rPr>
      <t>Om det är känt </t>
    </r>
    <r>
      <rPr>
        <b/>
        <sz val="12"/>
        <color theme="1"/>
        <rFont val="Calibri"/>
        <family val="2"/>
        <charset val="1"/>
      </rPr>
      <t>SKALL </t>
    </r>
    <r>
      <rPr>
        <sz val="12"/>
        <color theme="1"/>
        <rFont val="Calibri"/>
        <family val="2"/>
        <charset val="1"/>
      </rPr>
      <t>tidpunkt för när API:et tas ur bruk anges i dokumentationen.</t>
    </r>
  </si>
  <si>
    <t>DOK.11</t>
  </si>
  <si>
    <r>
      <rPr>
        <sz val="12"/>
        <color theme="1"/>
        <rFont val="Calibri"/>
        <family val="2"/>
        <charset val="1"/>
      </rPr>
      <t>Avsikten och beteendet hos API:et </t>
    </r>
    <r>
      <rPr>
        <b/>
        <sz val="12"/>
        <color theme="1"/>
        <rFont val="Calibri"/>
        <family val="2"/>
        <charset val="1"/>
      </rPr>
      <t>SKALL </t>
    </r>
    <r>
      <rPr>
        <sz val="12"/>
        <color theme="1"/>
        <rFont val="Calibri"/>
        <family val="2"/>
        <charset val="1"/>
      </rPr>
      <t>beskrivas så utförligt och tydligt som möjligt.</t>
    </r>
  </si>
  <si>
    <t>DOK.12</t>
  </si>
  <si>
    <r>
      <rPr>
        <sz val="12"/>
        <color theme="1"/>
        <rFont val="Calibri"/>
        <family val="2"/>
        <charset val="1"/>
      </rPr>
      <t>Ett API:s resurser och de möjliga operationer som kan utföras på resursen </t>
    </r>
    <r>
      <rPr>
        <b/>
        <sz val="12"/>
        <color theme="1"/>
        <rFont val="Calibri"/>
        <family val="2"/>
        <charset val="1"/>
      </rPr>
      <t>SKALL </t>
    </r>
    <r>
      <rPr>
        <sz val="12"/>
        <color theme="1"/>
        <rFont val="Calibri"/>
        <family val="2"/>
        <charset val="1"/>
      </rPr>
      <t>beskrivas så utförligt och tydligt som möjligt.</t>
    </r>
  </si>
  <si>
    <t>DOK.13</t>
  </si>
  <si>
    <r>
      <rPr>
        <sz val="12"/>
        <color theme="1"/>
        <rFont val="Calibri"/>
        <family val="2"/>
        <charset val="1"/>
      </rPr>
      <t>Förväntade returkoder och felkoder </t>
    </r>
    <r>
      <rPr>
        <b/>
        <sz val="12"/>
        <color theme="1"/>
        <rFont val="Calibri"/>
        <family val="2"/>
        <charset val="1"/>
      </rPr>
      <t>SKALL </t>
    </r>
    <r>
      <rPr>
        <sz val="12"/>
        <color theme="1"/>
        <rFont val="Calibri"/>
        <family val="2"/>
        <charset val="1"/>
      </rPr>
      <t>vara fullständigt dokumenterade.</t>
    </r>
  </si>
  <si>
    <t>DOK.15</t>
  </si>
  <si>
    <r>
      <rPr>
        <sz val="12"/>
        <color theme="1"/>
        <rFont val="Calibri"/>
        <family val="2"/>
        <charset val="1"/>
      </rPr>
      <t>I dokumentationen av API:et </t>
    </r>
    <r>
      <rPr>
        <b/>
        <sz val="12"/>
        <color theme="1"/>
        <rFont val="Calibri"/>
        <family val="2"/>
        <charset val="1"/>
      </rPr>
      <t>SKALL </t>
    </r>
    <r>
      <rPr>
        <sz val="12"/>
        <color theme="1"/>
        <rFont val="Calibri"/>
        <family val="2"/>
        <charset val="1"/>
      </rPr>
      <t>exempel på API:ets fråga (en:request) och svar (en:reply) finnas i sin helhet.</t>
    </r>
  </si>
  <si>
    <t>API specifikation</t>
  </si>
  <si>
    <t>DOK.16</t>
  </si>
  <si>
    <r>
      <rPr>
        <sz val="12"/>
        <color theme="1"/>
        <rFont val="Calibri"/>
        <family val="2"/>
        <charset val="1"/>
      </rPr>
      <t>REST API:er </t>
    </r>
    <r>
      <rPr>
        <b/>
        <sz val="12"/>
        <color theme="1"/>
        <rFont val="Calibri"/>
        <family val="2"/>
        <charset val="1"/>
      </rPr>
      <t>SKALL </t>
    </r>
    <r>
      <rPr>
        <sz val="12"/>
        <color theme="1"/>
        <rFont val="Calibri"/>
        <family val="2"/>
        <charset val="1"/>
      </rPr>
      <t>ha en API specifikation som bör</t>
    </r>
    <r>
      <rPr>
        <b/>
        <sz val="12"/>
        <color theme="1"/>
        <rFont val="Calibri"/>
        <family val="2"/>
        <charset val="1"/>
      </rPr>
      <t> </t>
    </r>
    <r>
      <rPr>
        <sz val="12"/>
        <color theme="1"/>
        <rFont val="Calibri"/>
        <family val="2"/>
        <charset val="1"/>
      </rPr>
      <t>kunna generera en datamodell för representation av API:ets resurser. </t>
    </r>
  </si>
  <si>
    <t>DOK.17</t>
  </si>
  <si>
    <r>
      <rPr>
        <sz val="12"/>
        <color theme="1"/>
        <rFont val="Calibri"/>
        <family val="2"/>
        <charset val="1"/>
      </rPr>
      <t xml:space="preserve">API specifikation </t>
    </r>
    <r>
      <rPr>
        <b/>
        <sz val="12"/>
        <color theme="1"/>
        <rFont val="Calibri"/>
        <family val="2"/>
        <charset val="1"/>
      </rPr>
      <t>BÖR</t>
    </r>
    <r>
      <rPr>
        <sz val="12"/>
        <color theme="1"/>
        <rFont val="Calibri"/>
        <family val="2"/>
        <charset val="1"/>
      </rPr>
      <t xml:space="preserve"> dokumenteras med den senaste major-versionen av OpenAPI Specification.</t>
    </r>
  </si>
  <si>
    <t>DOK.18</t>
  </si>
  <si>
    <r>
      <rPr>
        <sz val="12"/>
        <color theme="1"/>
        <rFont val="Calibri"/>
        <family val="2"/>
        <charset val="1"/>
      </rPr>
      <t>API specifikationen </t>
    </r>
    <r>
      <rPr>
        <b/>
        <sz val="12"/>
        <color theme="1"/>
        <rFont val="Calibri"/>
        <family val="2"/>
        <charset val="1"/>
      </rPr>
      <t>BÖR </t>
    </r>
    <r>
      <rPr>
        <sz val="12"/>
        <color theme="1"/>
        <rFont val="Calibri"/>
        <family val="2"/>
        <charset val="1"/>
      </rPr>
      <t xml:space="preserve">beskrivas med antingen </t>
    </r>
    <r>
      <rPr>
        <i/>
        <sz val="12"/>
        <color theme="1"/>
        <rFont val="Calibri"/>
        <family val="2"/>
        <charset val="1"/>
      </rPr>
      <t>JSON</t>
    </r>
    <r>
      <rPr>
        <sz val="12"/>
        <color theme="1"/>
        <rFont val="Calibri"/>
        <family val="2"/>
        <charset val="1"/>
      </rPr>
      <t xml:space="preserve"> eller </t>
    </r>
    <r>
      <rPr>
        <i/>
        <sz val="12"/>
        <color theme="1"/>
        <rFont val="Calibri"/>
        <family val="2"/>
        <charset val="1"/>
      </rPr>
      <t>YAML.</t>
    </r>
  </si>
  <si>
    <t>DOK.19</t>
  </si>
  <si>
    <t>DOK.20</t>
  </si>
  <si>
    <t>DOK.21</t>
  </si>
  <si>
    <r>
      <rPr>
        <sz val="12"/>
        <color theme="1"/>
        <rFont val="Calibri"/>
        <family val="2"/>
        <charset val="1"/>
      </rPr>
      <t>Krav på autentisering </t>
    </r>
    <r>
      <rPr>
        <b/>
        <sz val="12"/>
        <color theme="1"/>
        <rFont val="Calibri"/>
        <family val="2"/>
        <charset val="1"/>
      </rPr>
      <t>SKALL </t>
    </r>
    <r>
      <rPr>
        <sz val="12"/>
        <color theme="1"/>
        <rFont val="Calibri"/>
        <family val="2"/>
        <charset val="1"/>
      </rPr>
      <t>anges i specifikationen.</t>
    </r>
  </si>
  <si>
    <t>DOK.22</t>
  </si>
  <si>
    <r>
      <rPr>
        <sz val="12"/>
        <color theme="1"/>
        <rFont val="Calibri"/>
        <family val="2"/>
        <charset val="1"/>
      </rPr>
      <t>Varje ny major-version av ett API, enligt versionshanteringsavsnittet, </t>
    </r>
    <r>
      <rPr>
        <b/>
        <sz val="12"/>
        <color theme="1"/>
        <rFont val="Calibri"/>
        <family val="2"/>
        <charset val="1"/>
      </rPr>
      <t>SKALL</t>
    </r>
    <r>
      <rPr>
        <sz val="12"/>
        <color theme="1"/>
        <rFont val="Calibri"/>
        <family val="2"/>
        <charset val="1"/>
      </rPr>
      <t> följas av en ny API specifikation. </t>
    </r>
  </si>
  <si>
    <t>DOK.23</t>
  </si>
  <si>
    <r>
      <rPr>
        <sz val="12"/>
        <color theme="1"/>
        <rFont val="Calibri"/>
        <family val="2"/>
        <charset val="1"/>
      </rPr>
      <t>API specifikationen </t>
    </r>
    <r>
      <rPr>
        <b/>
        <sz val="12"/>
        <color theme="1"/>
        <rFont val="Calibri"/>
        <family val="2"/>
        <charset val="1"/>
      </rPr>
      <t>SKALL </t>
    </r>
    <r>
      <rPr>
        <sz val="12"/>
        <color theme="1"/>
        <rFont val="Calibri"/>
        <family val="2"/>
        <charset val="1"/>
      </rPr>
      <t xml:space="preserve">återfinnas under API-roten, det vill säga:
</t>
    </r>
    <r>
      <rPr>
        <i/>
        <sz val="12"/>
        <color theme="1"/>
        <rFont val="Calibri"/>
        <family val="2"/>
        <charset val="1"/>
      </rPr>
      <t>{protokoll}://{domännamn}/{API}/{version}/</t>
    </r>
  </si>
  <si>
    <t>DOK.24</t>
  </si>
  <si>
    <r>
      <rPr>
        <sz val="12"/>
        <color theme="1"/>
        <rFont val="Calibri"/>
        <family val="2"/>
        <charset val="1"/>
      </rPr>
      <t xml:space="preserve">Om API specifikationen specificeras med OpenAPI </t>
    </r>
    <r>
      <rPr>
        <b/>
        <sz val="12"/>
        <color theme="1"/>
        <rFont val="Calibri"/>
        <family val="2"/>
        <charset val="1"/>
      </rPr>
      <t>SKALL</t>
    </r>
    <r>
      <rPr>
        <sz val="12"/>
        <color theme="1"/>
        <rFont val="Calibri"/>
        <family val="2"/>
        <charset val="1"/>
      </rPr>
      <t xml:space="preserve"> roten till specifikationen namnges med </t>
    </r>
    <r>
      <rPr>
        <i/>
        <sz val="12"/>
        <color theme="1"/>
        <rFont val="Calibri"/>
        <family val="2"/>
        <charset val="1"/>
      </rPr>
      <t>openapi.yaml</t>
    </r>
    <r>
      <rPr>
        <sz val="12"/>
        <color theme="1"/>
        <rFont val="Calibri"/>
        <family val="2"/>
        <charset val="1"/>
      </rPr>
      <t xml:space="preserve"> eller </t>
    </r>
    <r>
      <rPr>
        <i/>
        <sz val="12"/>
        <color theme="1"/>
        <rFont val="Calibri"/>
        <family val="2"/>
        <charset val="1"/>
      </rPr>
      <t>openapi.json.</t>
    </r>
  </si>
  <si>
    <t>Datum- och tidsformat</t>
  </si>
  <si>
    <t>DOT.01</t>
  </si>
  <si>
    <r>
      <rPr>
        <sz val="12"/>
        <color theme="1"/>
        <rFont val="Calibri"/>
        <family val="2"/>
        <charset val="1"/>
      </rPr>
      <t>Datum och tid </t>
    </r>
    <r>
      <rPr>
        <b/>
        <sz val="12"/>
        <color theme="1"/>
        <rFont val="Calibri"/>
        <family val="2"/>
        <charset val="1"/>
      </rPr>
      <t>SKALL</t>
    </r>
    <r>
      <rPr>
        <sz val="12"/>
        <color theme="1"/>
        <rFont val="Calibri"/>
        <family val="2"/>
        <charset val="1"/>
      </rPr>
      <t xml:space="preserve"> hanteras enligt följande:
• Använd alltid RFC 3339 för datum och tid 
• Acceptera alla tidszoner i API:er 
• Returnera datum och tid i UTC 
• Använd inte tidsdelen om du inte behöver den </t>
    </r>
  </si>
  <si>
    <t>Datum och tid</t>
  </si>
  <si>
    <t>DOT.02</t>
  </si>
  <si>
    <r>
      <rPr>
        <sz val="12"/>
        <color theme="1"/>
        <rFont val="Calibri"/>
        <family val="2"/>
        <charset val="1"/>
      </rPr>
      <t>Datum och tid </t>
    </r>
    <r>
      <rPr>
        <b/>
        <sz val="12"/>
        <color theme="1"/>
        <rFont val="Calibri"/>
        <family val="2"/>
        <charset val="1"/>
      </rPr>
      <t>SKALL</t>
    </r>
    <r>
      <rPr>
        <sz val="12"/>
        <color theme="1"/>
        <rFont val="Calibri"/>
        <family val="2"/>
        <charset val="1"/>
      </rPr>
      <t> anges enligt RFC 3339 som bygger på ISO-8601.</t>
    </r>
  </si>
  <si>
    <t>Tidszoner</t>
  </si>
  <si>
    <t>DOT.03</t>
  </si>
  <si>
    <r>
      <rPr>
        <sz val="12"/>
        <color theme="1"/>
        <rFont val="Calibri"/>
        <family val="2"/>
        <charset val="1"/>
      </rPr>
      <t>När man använder RFC 3339 format </t>
    </r>
    <r>
      <rPr>
        <b/>
        <sz val="12"/>
        <color theme="1"/>
        <rFont val="Calibri"/>
        <family val="2"/>
        <charset val="1"/>
      </rPr>
      <t>BÖR</t>
    </r>
    <r>
      <rPr>
        <sz val="12"/>
        <color theme="1"/>
        <rFont val="Calibri"/>
        <family val="2"/>
        <charset val="1"/>
      </rPr>
      <t> tidszonen anges.</t>
    </r>
  </si>
  <si>
    <t>DOT.04</t>
  </si>
  <si>
    <r>
      <rPr>
        <sz val="12"/>
        <color theme="1"/>
        <rFont val="Calibri"/>
        <family val="2"/>
        <charset val="1"/>
      </rPr>
      <t xml:space="preserve">Tidzonen </t>
    </r>
    <r>
      <rPr>
        <b/>
        <sz val="12"/>
        <color theme="1"/>
        <rFont val="Calibri"/>
        <family val="2"/>
        <charset val="1"/>
      </rPr>
      <t>BÖR</t>
    </r>
    <r>
      <rPr>
        <sz val="12"/>
        <color theme="1"/>
        <rFont val="Calibri"/>
        <family val="2"/>
        <charset val="1"/>
      </rPr>
      <t xml:space="preserve"> representeras med UTC formatet, där tid anges som offset från UTC (Coordinated Universal Time).</t>
    </r>
  </si>
  <si>
    <t>Resurser</t>
  </si>
  <si>
    <t>Identifierare</t>
  </si>
  <si>
    <t>RES.02</t>
  </si>
  <si>
    <r>
      <rPr>
        <sz val="12"/>
        <color theme="1"/>
        <rFont val="Calibri"/>
        <family val="2"/>
        <charset val="1"/>
      </rPr>
      <t>Primärnycklar eller personligt identifierbar information (personnummer, etc) </t>
    </r>
    <r>
      <rPr>
        <b/>
        <sz val="12"/>
        <color theme="1"/>
        <rFont val="Calibri"/>
        <family val="2"/>
        <charset val="1"/>
      </rPr>
      <t>BÖR INTE</t>
    </r>
    <r>
      <rPr>
        <sz val="12"/>
        <color theme="1"/>
        <rFont val="Calibri"/>
        <family val="2"/>
        <charset val="1"/>
      </rPr>
      <t> exponeras.</t>
    </r>
  </si>
  <si>
    <t>BÖR INTE</t>
  </si>
  <si>
    <t>RES.03</t>
  </si>
  <si>
    <r>
      <rPr>
        <sz val="12"/>
        <color theme="1"/>
        <rFont val="Calibri"/>
        <family val="2"/>
        <charset val="1"/>
      </rPr>
      <t>När numeriska ID:n används </t>
    </r>
    <r>
      <rPr>
        <b/>
        <sz val="12"/>
        <color theme="1"/>
        <rFont val="Calibri"/>
        <family val="2"/>
        <charset val="1"/>
      </rPr>
      <t>BÖR</t>
    </r>
    <r>
      <rPr>
        <sz val="12"/>
        <color theme="1"/>
        <rFont val="Calibri"/>
        <family val="2"/>
        <charset val="1"/>
      </rPr>
      <t> de </t>
    </r>
    <r>
      <rPr>
        <b/>
        <sz val="12"/>
        <color theme="1"/>
        <rFont val="Calibri"/>
        <family val="2"/>
        <charset val="1"/>
      </rPr>
      <t>INTE</t>
    </r>
    <r>
      <rPr>
        <sz val="12"/>
        <color theme="1"/>
        <rFont val="Calibri"/>
        <family val="2"/>
        <charset val="1"/>
      </rPr>
      <t> vara sekventiella. Om informationen är av känslig karaktär ska den skyddas med behörighetskontroll.</t>
    </r>
  </si>
  <si>
    <t>RES.04</t>
  </si>
  <si>
    <r>
      <rPr>
        <sz val="12"/>
        <color theme="1"/>
        <rFont val="Calibri"/>
        <family val="2"/>
        <charset val="1"/>
      </rPr>
      <t>En identifierare för en nästlad resurs </t>
    </r>
    <r>
      <rPr>
        <b/>
        <sz val="12"/>
        <color theme="1"/>
        <rFont val="Calibri"/>
        <family val="2"/>
        <charset val="1"/>
      </rPr>
      <t>SKALL</t>
    </r>
    <r>
      <rPr>
        <sz val="12"/>
        <color theme="1"/>
        <rFont val="Calibri"/>
        <family val="2"/>
        <charset val="1"/>
      </rPr>
      <t> vara unik inom sin förälder resurs om den är beroende av sin förälder.</t>
    </r>
  </si>
  <si>
    <t>RES.05</t>
  </si>
  <si>
    <r>
      <rPr>
        <sz val="12"/>
        <color theme="1"/>
        <rFont val="Calibri"/>
        <family val="2"/>
        <charset val="1"/>
      </rPr>
      <t>När det kommer till att identifiera resurser så </t>
    </r>
    <r>
      <rPr>
        <b/>
        <sz val="12"/>
        <color theme="1"/>
        <rFont val="Calibri"/>
        <family val="2"/>
        <charset val="1"/>
      </rPr>
      <t>BÖR</t>
    </r>
    <r>
      <rPr>
        <sz val="12"/>
        <color theme="1"/>
        <rFont val="Calibri"/>
        <family val="2"/>
        <charset val="1"/>
      </rPr>
      <t> designen av detta ta höjd för en del olika aspekter:
• Säkerhet – beakta den identifikation på resurs som förmedlas via API gällande om den kan anses vara känslig eller onödig att exponera. T.ex. består en identifierare av en räknare så är det enkelt att lista ut nästa resurs. Avstå också från att använda primärnycklar i databasen utåt. 
• Användandet av logiska nycklar – den logiska nyckeln används i exponering utåt medan relationer döljs i backend. Passar bra när resurserna tillhör en domän, såsom SEK tillhör domänen valutor. 
• Överväg användande av UUID (eller motsvarande) – likt de två ovanstående punkterna så används databasgenererade id:n för att hantera data i backend, medan den logiska nyckeln döljs genom att skapa en UUID (t.ex. genom MD5 hashning av logisk nyckel). UUID kan såklart också genereras trots att det inte finns en logisk nyckel att använda.</t>
    </r>
  </si>
  <si>
    <t>Namnsättningskonvention för resurser</t>
  </si>
  <si>
    <t>RES.06</t>
  </si>
  <si>
    <r>
      <rPr>
        <sz val="12"/>
        <color theme="1"/>
        <rFont val="Calibri"/>
        <family val="2"/>
        <charset val="1"/>
      </rPr>
      <t xml:space="preserve">Följande regler för resurser </t>
    </r>
    <r>
      <rPr>
        <b/>
        <sz val="12"/>
        <color theme="1"/>
        <rFont val="Calibri"/>
        <family val="2"/>
        <charset val="1"/>
      </rPr>
      <t>SKALL</t>
    </r>
    <r>
      <rPr>
        <sz val="12"/>
        <color theme="1"/>
        <rFont val="Calibri"/>
        <family val="2"/>
        <charset val="1"/>
      </rPr>
      <t xml:space="preserve"> följas:
• Resurser namnges som substantiv. 
• Resurser namnges i pluralform, även om den nu kända träffbilden bara ger ett resultat 
• Resurser följer den namnsättningskonvention som beskrivs för URL:er, det vill säga att resurser anges med gemener, använder endast alfanumeriska tecken och bindestreck för att separera eventuella ord. </t>
    </r>
  </si>
  <si>
    <t>URL format och namngivning</t>
  </si>
  <si>
    <t>URL komponenter</t>
  </si>
  <si>
    <t>UFN.01</t>
  </si>
  <si>
    <r>
      <rPr>
        <sz val="12"/>
        <color theme="1"/>
        <rFont val="Calibri"/>
        <family val="2"/>
        <charset val="1"/>
      </rPr>
      <t>En URL för ett API </t>
    </r>
    <r>
      <rPr>
        <b/>
        <sz val="12"/>
        <color theme="1"/>
        <rFont val="Calibri"/>
        <family val="2"/>
        <charset val="1"/>
      </rPr>
      <t>BÖR</t>
    </r>
    <r>
      <rPr>
        <sz val="12"/>
        <color theme="1"/>
        <rFont val="Calibri"/>
        <family val="2"/>
        <charset val="1"/>
      </rPr>
      <t xml:space="preserve"> följa namnstandarden nedan:
</t>
    </r>
    <r>
      <rPr>
        <i/>
        <sz val="12"/>
        <color theme="1"/>
        <rFont val="Calibri"/>
        <family val="2"/>
        <charset val="1"/>
      </rPr>
      <t>{protokoll}://{domännamn }/{api}/{version}/{resurs}/{identifierare}?{parametrar}</t>
    </r>
  </si>
  <si>
    <t>UFN.02</t>
  </si>
  <si>
    <r>
      <rPr>
        <sz val="12"/>
        <color theme="1"/>
        <rFont val="Calibri"/>
        <family val="2"/>
        <charset val="1"/>
      </rPr>
      <t xml:space="preserve">Alla API:er </t>
    </r>
    <r>
      <rPr>
        <b/>
        <sz val="12"/>
        <color theme="1"/>
        <rFont val="Calibri"/>
        <family val="2"/>
        <charset val="1"/>
      </rPr>
      <t>SKALL</t>
    </r>
    <r>
      <rPr>
        <sz val="12"/>
        <color theme="1"/>
        <rFont val="Calibri"/>
        <family val="2"/>
        <charset val="1"/>
      </rPr>
      <t xml:space="preserve"> exponeras via HTTPS på port 443.
</t>
    </r>
  </si>
  <si>
    <t>UFN.03</t>
  </si>
  <si>
    <r>
      <rPr>
        <sz val="12"/>
        <color theme="1"/>
        <rFont val="Calibri"/>
        <family val="2"/>
        <charset val="1"/>
      </rPr>
      <t>Parametrar i sökfrågor </t>
    </r>
    <r>
      <rPr>
        <b/>
        <sz val="12"/>
        <color theme="1"/>
        <rFont val="Calibri"/>
        <family val="2"/>
        <charset val="1"/>
      </rPr>
      <t>SKALL INTE</t>
    </r>
    <r>
      <rPr>
        <sz val="12"/>
        <color theme="1"/>
        <rFont val="Calibri"/>
        <family val="2"/>
        <charset val="1"/>
      </rPr>
      <t xml:space="preserve"> användas för att transportera payload eller faktiska data.</t>
    </r>
  </si>
  <si>
    <t>SKALL INTE</t>
  </si>
  <si>
    <t>UFN.04</t>
  </si>
  <si>
    <r>
      <rPr>
        <sz val="12"/>
        <color theme="1"/>
        <rFont val="Calibri"/>
        <family val="2"/>
        <charset val="1"/>
      </rPr>
      <t xml:space="preserve">Om API:et stödjer begränsning av returnerade fält, komplicerad filtrering, sortering eller paginering </t>
    </r>
    <r>
      <rPr>
        <b/>
        <sz val="12"/>
        <color theme="1"/>
        <rFont val="Calibri"/>
        <family val="2"/>
        <charset val="1"/>
      </rPr>
      <t>BÖR</t>
    </r>
    <r>
      <rPr>
        <sz val="12"/>
        <color theme="1"/>
        <rFont val="Calibri"/>
        <family val="2"/>
        <charset val="1"/>
      </rPr>
      <t xml:space="preserve"> API:et stödja:
• </t>
    </r>
    <r>
      <rPr>
        <i/>
        <sz val="12"/>
        <color theme="1"/>
        <rFont val="Calibri"/>
        <family val="2"/>
        <charset val="1"/>
      </rPr>
      <t>fields</t>
    </r>
    <r>
      <rPr>
        <sz val="12"/>
        <color theme="1"/>
        <rFont val="Calibri"/>
        <family val="2"/>
        <charset val="1"/>
      </rPr>
      <t xml:space="preserve"> - specificera eller begränsa vilka fält som ska returneras 
• </t>
    </r>
    <r>
      <rPr>
        <i/>
        <sz val="12"/>
        <color theme="1"/>
        <rFont val="Calibri"/>
        <family val="2"/>
        <charset val="1"/>
      </rPr>
      <t>filter</t>
    </r>
    <r>
      <rPr>
        <sz val="12"/>
        <color theme="1"/>
        <rFont val="Calibri"/>
        <family val="2"/>
        <charset val="1"/>
      </rPr>
      <t xml:space="preserve"> - villkor som begränsar/filtrerar resultatets träffbild vid mer komplicerad filtrering (t.ex. större än). Vid enkel filtrering använd exempelvis ”=” direkt
• </t>
    </r>
    <r>
      <rPr>
        <i/>
        <sz val="12"/>
        <color theme="1"/>
        <rFont val="Calibri"/>
        <family val="2"/>
        <charset val="1"/>
      </rPr>
      <t>sort</t>
    </r>
    <r>
      <rPr>
        <sz val="12"/>
        <color theme="1"/>
        <rFont val="Calibri"/>
        <family val="2"/>
        <charset val="1"/>
      </rPr>
      <t xml:space="preserve"> - hur resultatet ska sorteras 
• </t>
    </r>
    <r>
      <rPr>
        <i/>
        <sz val="12"/>
        <color theme="1"/>
        <rFont val="Calibri"/>
        <family val="2"/>
        <charset val="1"/>
      </rPr>
      <t>page</t>
    </r>
    <r>
      <rPr>
        <sz val="12"/>
        <color theme="1"/>
        <rFont val="Calibri"/>
        <family val="2"/>
        <charset val="1"/>
      </rPr>
      <t xml:space="preserve"> - specificerar vilken sida som ska returneras i en träffbild </t>
    </r>
  </si>
  <si>
    <t>URL maxlängd</t>
  </si>
  <si>
    <t>UFN.05</t>
  </si>
  <si>
    <r>
      <rPr>
        <sz val="12"/>
        <color theme="1"/>
        <rFont val="Calibri"/>
        <family val="2"/>
        <charset val="1"/>
      </rPr>
      <t>En URL </t>
    </r>
    <r>
      <rPr>
        <b/>
        <sz val="12"/>
        <color theme="1"/>
        <rFont val="Calibri"/>
        <family val="2"/>
        <charset val="1"/>
      </rPr>
      <t>BÖR INTE</t>
    </r>
    <r>
      <rPr>
        <sz val="12"/>
        <color theme="1"/>
        <rFont val="Calibri"/>
        <family val="2"/>
        <charset val="1"/>
      </rPr>
      <t> vara längre än 2048 tecken.</t>
    </r>
  </si>
  <si>
    <t>URL namnsättningskonvention</t>
  </si>
  <si>
    <t>UFN.07</t>
  </si>
  <si>
    <t>URL:n SKALL använda dessa tecken (a-z, 0-9, "-", "." samt "~", se vidare i RFC 3986) (gäller URL-elementen Scheme, Authority och Path samt API-elementen protokoll, domännamn, api, version, resurs och identifierare).</t>
  </si>
  <si>
    <t>UFN.08</t>
  </si>
  <si>
    <t>Endast bindestreck '-' SKALL användas för att separera ord för att öka läsbarheten samt förenkla för sökmotorer att indexera varje ord för sig (gäller URL-elementen Authority och Path. Mer specifikt API-elementen domännamn, api, resurs, identifierare).</t>
  </si>
  <si>
    <t>UFN.09</t>
  </si>
  <si>
    <t>Blanksteg ' ' och understreck '_' SKALL INTE användas i URL:er med undantag av query parameter-delen (gäller alltså URL-elementen Scheme, Authority och Path samt API-elementen protokoll, domännamn, api, version, resurs och identifierare).</t>
  </si>
  <si>
    <t>Mognad</t>
  </si>
  <si>
    <t>MOG.01</t>
  </si>
  <si>
    <r>
      <rPr>
        <sz val="12"/>
        <color theme="1"/>
        <rFont val="Calibri"/>
        <family val="2"/>
        <charset val="1"/>
      </rPr>
      <t>Alla API:er </t>
    </r>
    <r>
      <rPr>
        <b/>
        <sz val="12"/>
        <color theme="1"/>
        <rFont val="Calibri"/>
        <family val="2"/>
        <charset val="1"/>
      </rPr>
      <t>SKALL </t>
    </r>
    <r>
      <rPr>
        <sz val="12"/>
        <color theme="1"/>
        <rFont val="Calibri"/>
        <family val="2"/>
        <charset val="1"/>
      </rPr>
      <t>designas för att uppnå nivå 2 enligt Richardson Maturity Model.</t>
    </r>
  </si>
  <si>
    <t>MOG.02</t>
  </si>
  <si>
    <r>
      <rPr>
        <sz val="12"/>
        <color theme="1"/>
        <rFont val="Calibri"/>
        <family val="2"/>
        <charset val="1"/>
      </rPr>
      <t xml:space="preserve">Alla API:er </t>
    </r>
    <r>
      <rPr>
        <b/>
        <sz val="12"/>
        <color theme="1"/>
        <rFont val="Calibri"/>
        <family val="2"/>
        <charset val="1"/>
      </rPr>
      <t>BÖR</t>
    </r>
    <r>
      <rPr>
        <sz val="12"/>
        <color theme="1"/>
        <rFont val="Calibri"/>
        <family val="2"/>
        <charset val="1"/>
      </rPr>
      <t> samtidigt designas för att uppnå nivå 3 enligt Richardson Maturity Model.</t>
    </r>
  </si>
  <si>
    <t>MOG.03</t>
  </si>
  <si>
    <r>
      <rPr>
        <sz val="12"/>
        <color theme="1"/>
        <rFont val="Calibri"/>
        <family val="2"/>
        <charset val="1"/>
      </rPr>
      <t xml:space="preserve">Om man använder POST operationerna där man vanligen använder GET operationer </t>
    </r>
    <r>
      <rPr>
        <b/>
        <sz val="12"/>
        <color theme="1"/>
        <rFont val="Calibri"/>
        <family val="2"/>
        <charset val="1"/>
      </rPr>
      <t>SKALL</t>
    </r>
    <r>
      <rPr>
        <sz val="12"/>
        <color theme="1"/>
        <rFont val="Calibri"/>
        <family val="2"/>
        <charset val="1"/>
      </rPr>
      <t xml:space="preserve"> det dokumenteras tydligt varför. </t>
    </r>
  </si>
  <si>
    <t>Säkerhet</t>
  </si>
  <si>
    <t>Transportsäkerhet</t>
  </si>
  <si>
    <t>SAK.01</t>
  </si>
  <si>
    <r>
      <rPr>
        <sz val="12"/>
        <color theme="1"/>
        <rFont val="Calibri"/>
        <family val="2"/>
        <charset val="1"/>
      </rPr>
      <t xml:space="preserve">All transport </t>
    </r>
    <r>
      <rPr>
        <b/>
        <sz val="12"/>
        <color theme="1"/>
        <rFont val="Calibri"/>
        <family val="2"/>
        <charset val="1"/>
      </rPr>
      <t>SKALL</t>
    </r>
    <r>
      <rPr>
        <sz val="12"/>
        <color theme="1"/>
        <rFont val="Calibri"/>
        <family val="2"/>
        <charset val="1"/>
      </rPr>
      <t xml:space="preserve"> sker över HTTPS med minst TLS 1.2.</t>
    </r>
  </si>
  <si>
    <t>SAK.02</t>
  </si>
  <si>
    <r>
      <rPr>
        <sz val="12"/>
        <color theme="1"/>
        <rFont val="Calibri"/>
        <family val="2"/>
        <charset val="1"/>
      </rPr>
      <t xml:space="preserve">Alla certifikat </t>
    </r>
    <r>
      <rPr>
        <b/>
        <sz val="12"/>
        <color theme="1"/>
        <rFont val="Calibri"/>
        <family val="2"/>
        <charset val="1"/>
      </rPr>
      <t>SKALL</t>
    </r>
    <r>
      <rPr>
        <sz val="12"/>
        <color theme="1"/>
        <rFont val="Calibri"/>
        <family val="2"/>
        <charset val="1"/>
      </rPr>
      <t xml:space="preserve"> vara från SHA-2 (Secure Hash Algorithm 2) kryptografiska hashfunktioner med minsta nyckellängd på 2048.</t>
    </r>
  </si>
  <si>
    <t>SAK.03</t>
  </si>
  <si>
    <r>
      <rPr>
        <sz val="12"/>
        <color theme="1"/>
        <rFont val="Calibri"/>
        <family val="2"/>
        <charset val="1"/>
      </rPr>
      <t xml:space="preserve">Alla offentligt tillgängliga endpoints </t>
    </r>
    <r>
      <rPr>
        <b/>
        <sz val="12"/>
        <color theme="1"/>
        <rFont val="Calibri"/>
        <family val="2"/>
        <charset val="1"/>
      </rPr>
      <t>SKALL</t>
    </r>
    <r>
      <rPr>
        <sz val="12"/>
        <color theme="1"/>
        <rFont val="Calibri"/>
        <family val="2"/>
        <charset val="1"/>
      </rPr>
      <t xml:space="preserve"> använda ett digitalt certifikat som har undertecknats av en godkänd certifikatutfärdare.</t>
    </r>
  </si>
  <si>
    <t>SAK.05</t>
  </si>
  <si>
    <r>
      <rPr>
        <sz val="12"/>
        <color theme="1"/>
        <rFont val="Calibri"/>
        <family val="2"/>
        <charset val="1"/>
      </rPr>
      <t xml:space="preserve">Oanvända HTTP-metoder </t>
    </r>
    <r>
      <rPr>
        <b/>
        <sz val="12"/>
        <color theme="1"/>
        <rFont val="Calibri"/>
        <family val="2"/>
        <charset val="1"/>
      </rPr>
      <t>BÖR</t>
    </r>
    <r>
      <rPr>
        <sz val="12"/>
        <color theme="1"/>
        <rFont val="Calibri"/>
        <family val="2"/>
        <charset val="1"/>
      </rPr>
      <t xml:space="preserve"> inaktiveras och returnera HTTP-status 405.</t>
    </r>
  </si>
  <si>
    <t>SAK.06</t>
  </si>
  <si>
    <r>
      <rPr>
        <sz val="12"/>
        <color theme="1"/>
        <rFont val="Calibri"/>
        <family val="2"/>
        <charset val="1"/>
      </rPr>
      <t xml:space="preserve">Alla requests </t>
    </r>
    <r>
      <rPr>
        <b/>
        <sz val="12"/>
        <color theme="1"/>
        <rFont val="Calibri"/>
        <family val="2"/>
        <charset val="1"/>
      </rPr>
      <t>SKALL</t>
    </r>
    <r>
      <rPr>
        <sz val="12"/>
        <color theme="1"/>
        <rFont val="Calibri"/>
        <family val="2"/>
        <charset val="1"/>
      </rPr>
      <t xml:space="preserve"> valideras.</t>
    </r>
  </si>
  <si>
    <t>SAK.08</t>
  </si>
  <si>
    <r>
      <rPr>
        <sz val="12"/>
        <color theme="1"/>
        <rFont val="Calibri"/>
        <family val="2"/>
        <charset val="1"/>
      </rPr>
      <t xml:space="preserve">Om man i informationsklassningen har restriktioner till vilka som får konsumera informationen i API:et så </t>
    </r>
    <r>
      <rPr>
        <b/>
        <sz val="12"/>
        <color theme="1"/>
        <rFont val="Calibri"/>
        <family val="2"/>
        <charset val="1"/>
      </rPr>
      <t>SKALL</t>
    </r>
    <r>
      <rPr>
        <sz val="12"/>
        <color theme="1"/>
        <rFont val="Calibri"/>
        <family val="2"/>
        <charset val="1"/>
      </rPr>
      <t xml:space="preserve"> autentisering och auktorisation användas.</t>
    </r>
  </si>
  <si>
    <t>Autentisering och auktorisation</t>
  </si>
  <si>
    <t>SAK.09</t>
  </si>
  <si>
    <r>
      <rPr>
        <sz val="12"/>
        <color theme="1"/>
        <rFont val="Calibri"/>
        <family val="2"/>
        <charset val="1"/>
      </rPr>
      <t xml:space="preserve">Basic- eller Digest-autentisering </t>
    </r>
    <r>
      <rPr>
        <b/>
        <sz val="12"/>
        <color theme="1"/>
        <rFont val="Calibri"/>
        <family val="2"/>
        <charset val="1"/>
      </rPr>
      <t>SKALL INTE</t>
    </r>
    <r>
      <rPr>
        <sz val="12"/>
        <color theme="1"/>
        <rFont val="Calibri"/>
        <family val="2"/>
        <charset val="1"/>
      </rPr>
      <t xml:space="preserve"> användas.</t>
    </r>
  </si>
  <si>
    <t>SAK.10</t>
  </si>
  <si>
    <r>
      <rPr>
        <sz val="12"/>
        <color theme="1"/>
        <rFont val="Calibri"/>
        <family val="2"/>
        <charset val="1"/>
      </rPr>
      <t xml:space="preserve">Authorization: Bearer header </t>
    </r>
    <r>
      <rPr>
        <b/>
        <sz val="12"/>
        <color theme="1"/>
        <rFont val="Calibri"/>
        <family val="2"/>
        <charset val="1"/>
      </rPr>
      <t>SKALL</t>
    </r>
    <r>
      <rPr>
        <sz val="12"/>
        <color theme="1"/>
        <rFont val="Calibri"/>
        <family val="2"/>
        <charset val="1"/>
      </rPr>
      <t xml:space="preserve"> användas för autentisering/auktorisation.</t>
    </r>
  </si>
  <si>
    <t>SAK.11</t>
  </si>
  <si>
    <r>
      <rPr>
        <sz val="12"/>
        <color theme="1"/>
        <rFont val="Calibri"/>
        <family val="2"/>
        <charset val="1"/>
      </rPr>
      <t xml:space="preserve">En uppdateringstoken </t>
    </r>
    <r>
      <rPr>
        <b/>
        <sz val="12"/>
        <color theme="1"/>
        <rFont val="Calibri"/>
        <family val="2"/>
        <charset val="1"/>
      </rPr>
      <t>SKALL</t>
    </r>
    <r>
      <rPr>
        <sz val="12"/>
        <color theme="1"/>
        <rFont val="Calibri"/>
        <family val="2"/>
        <charset val="1"/>
      </rPr>
      <t xml:space="preserve"> tillhandahållas för att förlänga giltighetstiden för befintliga token utan att behöva tillhandahålla referenserna igen.</t>
    </r>
  </si>
  <si>
    <t>SAK.12</t>
  </si>
  <si>
    <r>
      <rPr>
        <sz val="12"/>
        <color theme="1"/>
        <rFont val="Calibri"/>
        <family val="2"/>
        <charset val="1"/>
      </rPr>
      <t xml:space="preserve">Ställ alltid in en rimlig giltighetstid för tokens. En OIDC-åtkomsttokens livslängd </t>
    </r>
    <r>
      <rPr>
        <b/>
        <sz val="12"/>
        <color theme="1"/>
        <rFont val="Calibri"/>
        <family val="2"/>
        <charset val="1"/>
      </rPr>
      <t>BÖR INTE</t>
    </r>
    <r>
      <rPr>
        <sz val="12"/>
        <color theme="1"/>
        <rFont val="Calibri"/>
        <family val="2"/>
        <charset val="1"/>
      </rPr>
      <t xml:space="preserve"> överstiga 5 minuter.</t>
    </r>
  </si>
  <si>
    <t>SAK.13</t>
  </si>
  <si>
    <r>
      <rPr>
        <sz val="12"/>
        <color theme="1"/>
        <rFont val="Calibri"/>
        <family val="2"/>
        <charset val="1"/>
      </rPr>
      <t xml:space="preserve">Klientapplikationsidentitet </t>
    </r>
    <r>
      <rPr>
        <b/>
        <sz val="12"/>
        <color theme="1"/>
        <rFont val="Calibri"/>
        <family val="2"/>
        <charset val="1"/>
      </rPr>
      <t>BÖR</t>
    </r>
    <r>
      <rPr>
        <sz val="12"/>
        <color theme="1"/>
        <rFont val="Calibri"/>
        <family val="2"/>
        <charset val="1"/>
      </rPr>
      <t xml:space="preserve"> etableras via en konsekvent mekanism. Detta kan vara via en API-nyckel eller via en mer robust mekanism som en OAuth-serveridentitet.</t>
    </r>
  </si>
  <si>
    <t>SAK.14</t>
  </si>
  <si>
    <r>
      <rPr>
        <sz val="12"/>
        <color theme="1"/>
        <rFont val="Calibri"/>
        <family val="2"/>
        <charset val="1"/>
      </rPr>
      <t xml:space="preserve">Rotationspolicy för API-nycklar </t>
    </r>
    <r>
      <rPr>
        <b/>
        <sz val="12"/>
        <color theme="1"/>
        <rFont val="Calibri"/>
        <family val="2"/>
        <charset val="1"/>
      </rPr>
      <t>BÖR</t>
    </r>
    <r>
      <rPr>
        <sz val="12"/>
        <color theme="1"/>
        <rFont val="Calibri"/>
        <family val="2"/>
        <charset val="1"/>
      </rPr>
      <t xml:space="preserve"> implementeras där så är tillämpligt.</t>
    </r>
  </si>
  <si>
    <t>SAK.15</t>
  </si>
  <si>
    <r>
      <rPr>
        <sz val="12"/>
        <color theme="1"/>
        <rFont val="Calibri"/>
        <family val="2"/>
        <charset val="1"/>
      </rPr>
      <t xml:space="preserve">API-nycklar </t>
    </r>
    <r>
      <rPr>
        <b/>
        <sz val="12"/>
        <color theme="1"/>
        <rFont val="Calibri"/>
        <family val="2"/>
        <charset val="1"/>
      </rPr>
      <t>SKALL INTE</t>
    </r>
    <r>
      <rPr>
        <sz val="12"/>
        <color theme="1"/>
        <rFont val="Calibri"/>
        <family val="2"/>
        <charset val="1"/>
      </rPr>
      <t xml:space="preserve"> inkluderas i URL eller querysträngen.</t>
    </r>
  </si>
  <si>
    <t>SAK.16</t>
  </si>
  <si>
    <r>
      <rPr>
        <sz val="12"/>
        <color theme="1"/>
        <rFont val="Calibri"/>
        <family val="2"/>
        <charset val="1"/>
      </rPr>
      <t xml:space="preserve">API-nycklar </t>
    </r>
    <r>
      <rPr>
        <b/>
        <sz val="12"/>
        <color theme="1"/>
        <rFont val="Calibri"/>
        <family val="2"/>
        <charset val="1"/>
      </rPr>
      <t>SKALL</t>
    </r>
    <r>
      <rPr>
        <sz val="12"/>
        <color theme="1"/>
        <rFont val="Calibri"/>
        <family val="2"/>
        <charset val="1"/>
      </rPr>
      <t xml:space="preserve"> inkluderas i HTTP-headern eftersom querysträngar kan sparas av klienten eller servern i okrypterat format av webbläsaren eller serverapplikationen.</t>
    </r>
  </si>
  <si>
    <t>SAK.17</t>
  </si>
  <si>
    <r>
      <rPr>
        <sz val="12"/>
        <color theme="1"/>
        <rFont val="Calibri"/>
        <family val="2"/>
        <charset val="1"/>
      </rPr>
      <t xml:space="preserve">CORS-headers (Cross-origin resource sharing) </t>
    </r>
    <r>
      <rPr>
        <b/>
        <sz val="12"/>
        <color theme="1"/>
        <rFont val="Calibri"/>
        <family val="2"/>
        <charset val="1"/>
      </rPr>
      <t>BÖR</t>
    </r>
    <r>
      <rPr>
        <sz val="12"/>
        <color theme="1"/>
        <rFont val="Calibri"/>
        <family val="2"/>
        <charset val="1"/>
      </rPr>
      <t xml:space="preserve"> endast användas när det är nödvändigt eftersom det kringgår de övergripande säkerhetsmekanismerna som är inbyggda i webbläsare genom att selektivt lätta på restriktioner för cross-origins, RFC 6454.</t>
    </r>
  </si>
  <si>
    <t>Oauth</t>
  </si>
  <si>
    <t>SAK.18</t>
  </si>
  <si>
    <r>
      <rPr>
        <sz val="12"/>
        <color theme="1"/>
        <rFont val="Calibri"/>
        <family val="2"/>
        <charset val="1"/>
      </rPr>
      <t xml:space="preserve">OAuth version 2.0 eller senare </t>
    </r>
    <r>
      <rPr>
        <b/>
        <sz val="12"/>
        <color theme="1"/>
        <rFont val="Calibri"/>
        <family val="2"/>
        <charset val="1"/>
      </rPr>
      <t>BÖR</t>
    </r>
    <r>
      <rPr>
        <sz val="12"/>
        <color theme="1"/>
        <rFont val="Calibri"/>
        <family val="2"/>
        <charset val="1"/>
      </rPr>
      <t xml:space="preserve"> användas för auktorisation.</t>
    </r>
  </si>
  <si>
    <t>Abstraktion</t>
  </si>
  <si>
    <t>SAK.19</t>
  </si>
  <si>
    <r>
      <rPr>
        <sz val="12"/>
        <color theme="1"/>
        <rFont val="Calibri"/>
        <family val="2"/>
        <charset val="1"/>
      </rPr>
      <t xml:space="preserve">Som en allmän princip </t>
    </r>
    <r>
      <rPr>
        <b/>
        <sz val="12"/>
        <color theme="1"/>
        <rFont val="Calibri"/>
        <family val="2"/>
        <charset val="1"/>
      </rPr>
      <t>BÖR</t>
    </r>
    <r>
      <rPr>
        <sz val="12"/>
        <color theme="1"/>
        <rFont val="Calibri"/>
        <family val="2"/>
        <charset val="1"/>
      </rPr>
      <t xml:space="preserve"> det finnas en abstraktionsnivå av källsystemets data- och affärslogik i din API-design för att frikoppla konsumenterna och API-tjänsteleverantörerna.</t>
    </r>
  </si>
  <si>
    <t>SAK.20</t>
  </si>
  <si>
    <r>
      <rPr>
        <sz val="12"/>
        <color theme="1"/>
        <rFont val="Calibri"/>
        <family val="2"/>
        <charset val="1"/>
      </rPr>
      <t xml:space="preserve">• </t>
    </r>
    <r>
      <rPr>
        <i/>
        <sz val="12"/>
        <color theme="1"/>
        <rFont val="Calibri"/>
        <family val="2"/>
        <charset val="1"/>
      </rPr>
      <t>Mellan</t>
    </r>
    <r>
      <rPr>
        <sz val="12"/>
        <color theme="1"/>
        <rFont val="Calibri"/>
        <family val="2"/>
        <charset val="1"/>
      </rPr>
      <t xml:space="preserve"> - API:er som syftar till återanvändning </t>
    </r>
    <r>
      <rPr>
        <b/>
        <sz val="12"/>
        <color theme="1"/>
        <rFont val="Calibri"/>
        <family val="2"/>
        <charset val="1"/>
      </rPr>
      <t>BÖR</t>
    </r>
    <r>
      <rPr>
        <sz val="12"/>
        <color theme="1"/>
        <rFont val="Calibri"/>
        <family val="2"/>
        <charset val="1"/>
      </rPr>
      <t xml:space="preserve"> överväga mellanliggande abstraktionsnivån.</t>
    </r>
  </si>
  <si>
    <t>SAK.21</t>
  </si>
  <si>
    <r>
      <rPr>
        <sz val="12"/>
        <color theme="1"/>
        <rFont val="Calibri"/>
        <family val="2"/>
        <charset val="1"/>
      </rPr>
      <t xml:space="preserve">• </t>
    </r>
    <r>
      <rPr>
        <i/>
        <sz val="12"/>
        <color theme="1"/>
        <rFont val="Calibri"/>
        <family val="2"/>
        <charset val="1"/>
      </rPr>
      <t>Mellan</t>
    </r>
    <r>
      <rPr>
        <sz val="12"/>
        <color theme="1"/>
        <rFont val="Calibri"/>
        <family val="2"/>
        <charset val="1"/>
      </rPr>
      <t xml:space="preserve"> - Interna databastabellstrukturer </t>
    </r>
    <r>
      <rPr>
        <b/>
        <sz val="12"/>
        <color theme="1"/>
        <rFont val="Calibri"/>
        <family val="2"/>
        <charset val="1"/>
      </rPr>
      <t>SKALL INTE</t>
    </r>
    <r>
      <rPr>
        <sz val="12"/>
        <color theme="1"/>
        <rFont val="Calibri"/>
        <family val="2"/>
        <charset val="1"/>
      </rPr>
      <t xml:space="preserve"> exponeras direkt i ditt API.</t>
    </r>
  </si>
  <si>
    <t>SAK.22</t>
  </si>
  <si>
    <r>
      <rPr>
        <sz val="12"/>
        <color theme="1"/>
        <rFont val="Calibri"/>
        <family val="2"/>
        <charset val="1"/>
      </rPr>
      <t xml:space="preserve">• </t>
    </r>
    <r>
      <rPr>
        <i/>
        <sz val="12"/>
        <color theme="1"/>
        <rFont val="Calibri"/>
        <family val="2"/>
        <charset val="1"/>
      </rPr>
      <t>Mellan</t>
    </r>
    <r>
      <rPr>
        <sz val="12"/>
        <color theme="1"/>
        <rFont val="Calibri"/>
        <family val="2"/>
        <charset val="1"/>
      </rPr>
      <t xml:space="preserve"> - Exponering av interna systemidentifierare </t>
    </r>
    <r>
      <rPr>
        <b/>
        <sz val="12"/>
        <color theme="1"/>
        <rFont val="Calibri"/>
        <family val="2"/>
        <charset val="1"/>
      </rPr>
      <t>BÖR INTE</t>
    </r>
    <r>
      <rPr>
        <sz val="12"/>
        <color theme="1"/>
        <rFont val="Calibri"/>
        <family val="2"/>
        <charset val="1"/>
      </rPr>
      <t xml:space="preserve"> (exempelvis ett databas-ID) exponeras till konsumenter.</t>
    </r>
  </si>
  <si>
    <t>SAK.23</t>
  </si>
  <si>
    <r>
      <rPr>
        <sz val="12"/>
        <color theme="1"/>
        <rFont val="Calibri"/>
        <family val="2"/>
        <charset val="1"/>
      </rPr>
      <t xml:space="preserve">• </t>
    </r>
    <r>
      <rPr>
        <i/>
        <sz val="12"/>
        <color theme="1"/>
        <rFont val="Calibri"/>
        <family val="2"/>
        <charset val="1"/>
      </rPr>
      <t>Avancerad</t>
    </r>
    <r>
      <rPr>
        <sz val="12"/>
        <color theme="1"/>
        <rFont val="Calibri"/>
        <family val="2"/>
        <charset val="1"/>
      </rPr>
      <t xml:space="preserve"> - HATEOAS </t>
    </r>
    <r>
      <rPr>
        <b/>
        <sz val="12"/>
        <color theme="1"/>
        <rFont val="Calibri"/>
        <family val="2"/>
        <charset val="1"/>
      </rPr>
      <t>BÖR</t>
    </r>
    <r>
      <rPr>
        <sz val="12"/>
        <color theme="1"/>
        <rFont val="Calibri"/>
        <family val="2"/>
        <charset val="1"/>
      </rPr>
      <t xml:space="preserve"> användas för att abstrahera tillåtna åtgärder.</t>
    </r>
  </si>
  <si>
    <t>Felhantering</t>
  </si>
  <si>
    <t>SAK.24</t>
  </si>
  <si>
    <r>
      <rPr>
        <sz val="12"/>
        <color theme="1"/>
        <rFont val="Calibri"/>
        <family val="2"/>
        <charset val="1"/>
      </rPr>
      <t xml:space="preserve">Felmeddelanden </t>
    </r>
    <r>
      <rPr>
        <b/>
        <sz val="12"/>
        <color theme="1"/>
        <rFont val="Calibri"/>
        <family val="2"/>
        <charset val="1"/>
      </rPr>
      <t>SKALL INTE</t>
    </r>
    <r>
      <rPr>
        <sz val="12"/>
        <color theme="1"/>
        <rFont val="Calibri"/>
        <family val="2"/>
        <charset val="1"/>
      </rPr>
      <t xml:space="preserve"> avslöja information som kan användas för att attackera ditt system.</t>
    </r>
  </si>
  <si>
    <t>SAK.25</t>
  </si>
  <si>
    <r>
      <rPr>
        <sz val="12"/>
        <color theme="1"/>
        <rFont val="Calibri"/>
        <family val="2"/>
        <charset val="1"/>
      </rPr>
      <t xml:space="preserve">Ett API </t>
    </r>
    <r>
      <rPr>
        <b/>
        <sz val="12"/>
        <color theme="1"/>
        <rFont val="Calibri"/>
        <family val="2"/>
        <charset val="1"/>
      </rPr>
      <t>SKALL</t>
    </r>
    <r>
      <rPr>
        <sz val="12"/>
        <color theme="1"/>
        <rFont val="Calibri"/>
        <family val="2"/>
        <charset val="1"/>
      </rPr>
      <t xml:space="preserve"> maskera alla systemrelaterade fel bakom vanliga HTTP-statuskoder och felmeddelanden, t.ex. exponera inte information på systemnivå i ditt felmeddelande.</t>
    </r>
  </si>
  <si>
    <t>SAK.26</t>
  </si>
  <si>
    <r>
      <rPr>
        <sz val="12"/>
        <color theme="1"/>
        <rFont val="Calibri"/>
        <family val="2"/>
        <charset val="1"/>
      </rPr>
      <t xml:space="preserve">Ett API </t>
    </r>
    <r>
      <rPr>
        <b/>
        <sz val="12"/>
        <color theme="1"/>
        <rFont val="Calibri"/>
        <family val="2"/>
        <charset val="1"/>
      </rPr>
      <t>SKALL INTE</t>
    </r>
    <r>
      <rPr>
        <sz val="12"/>
        <color theme="1"/>
        <rFont val="Calibri"/>
        <family val="2"/>
        <charset val="1"/>
      </rPr>
      <t xml:space="preserve"> skicka tekniska detaljer (t.ex. anropsstackar eller andra interna tips) till klienten.</t>
    </r>
  </si>
  <si>
    <t>Loggning</t>
  </si>
  <si>
    <t>SAK.27</t>
  </si>
  <si>
    <r>
      <rPr>
        <sz val="12"/>
        <color theme="1"/>
        <rFont val="Calibri"/>
        <family val="2"/>
        <charset val="1"/>
      </rPr>
      <t xml:space="preserve">En viktig aspekt av säkerheten är att bli meddelad när något fel inträffar och att kunna undersöka det. Man </t>
    </r>
    <r>
      <rPr>
        <b/>
        <sz val="12"/>
        <color theme="1"/>
        <rFont val="Calibri"/>
        <family val="2"/>
        <charset val="1"/>
      </rPr>
      <t>BÖR</t>
    </r>
    <r>
      <rPr>
        <sz val="12"/>
        <color theme="1"/>
        <rFont val="Calibri"/>
        <family val="2"/>
        <charset val="1"/>
      </rPr>
      <t xml:space="preserve"> definiera loggningsnivåer som kan användas för att trigga lämpliga varningar och larm.</t>
    </r>
  </si>
  <si>
    <t>Validering av ingående parametrar</t>
  </si>
  <si>
    <t>SAK.28</t>
  </si>
  <si>
    <r>
      <rPr>
        <sz val="12"/>
        <color theme="1"/>
        <rFont val="Calibri"/>
        <family val="2"/>
        <charset val="1"/>
      </rPr>
      <t xml:space="preserve">Validering av ingående parametrar </t>
    </r>
    <r>
      <rPr>
        <b/>
        <sz val="12"/>
        <color theme="1"/>
        <rFont val="Calibri"/>
        <family val="2"/>
        <charset val="1"/>
      </rPr>
      <t>BÖR</t>
    </r>
    <r>
      <rPr>
        <sz val="12"/>
        <color theme="1"/>
        <rFont val="Calibri"/>
        <family val="2"/>
        <charset val="1"/>
      </rPr>
      <t xml:space="preserve"> utföras för att säkerställa att endast korrekt formaterad data tas emot av ditt system, detta hjälper till att förhindra skadliga attacker.</t>
    </r>
  </si>
  <si>
    <t>Validering av innehållstyp</t>
  </si>
  <si>
    <t>SAK.29</t>
  </si>
  <si>
    <r>
      <rPr>
        <sz val="12"/>
        <color theme="1"/>
        <rFont val="Calibri"/>
        <family val="2"/>
        <charset val="1"/>
      </rPr>
      <t xml:space="preserve">Man </t>
    </r>
    <r>
      <rPr>
        <b/>
        <sz val="12"/>
        <color theme="1"/>
        <rFont val="Calibri"/>
        <family val="2"/>
        <charset val="1"/>
      </rPr>
      <t>BÖR</t>
    </r>
    <r>
      <rPr>
        <sz val="12"/>
        <color theme="1"/>
        <rFont val="Calibri"/>
        <family val="2"/>
        <charset val="1"/>
      </rPr>
      <t xml:space="preserve"> respektera angiven </t>
    </r>
    <r>
      <rPr>
        <i/>
        <sz val="12"/>
        <color theme="1"/>
        <rFont val="Calibri"/>
        <family val="2"/>
        <charset val="1"/>
      </rPr>
      <t>content-type</t>
    </r>
    <r>
      <rPr>
        <sz val="12"/>
        <color theme="1"/>
        <rFont val="Calibri"/>
        <family val="2"/>
        <charset val="1"/>
      </rPr>
      <t xml:space="preserve"> i header.</t>
    </r>
  </si>
  <si>
    <t>Gateway säkerhetsfunktioner</t>
  </si>
  <si>
    <t>SAK.30</t>
  </si>
  <si>
    <r>
      <rPr>
        <sz val="12"/>
        <color theme="1"/>
        <rFont val="Calibri"/>
        <family val="2"/>
        <charset val="1"/>
      </rPr>
      <t xml:space="preserve">HTTP verb </t>
    </r>
    <r>
      <rPr>
        <b/>
        <sz val="12"/>
        <color theme="1"/>
        <rFont val="Calibri"/>
        <family val="2"/>
        <charset val="1"/>
      </rPr>
      <t>BÖR</t>
    </r>
    <r>
      <rPr>
        <sz val="12"/>
        <color theme="1"/>
        <rFont val="Calibri"/>
        <family val="2"/>
        <charset val="1"/>
      </rPr>
      <t xml:space="preserve"> användas för att beskriva sökvägen för ett API.</t>
    </r>
  </si>
  <si>
    <t>SAK.31</t>
  </si>
  <si>
    <r>
      <rPr>
        <sz val="12"/>
        <color theme="1"/>
        <rFont val="Calibri"/>
        <family val="2"/>
        <charset val="1"/>
      </rPr>
      <t xml:space="preserve">Olika typer av filter </t>
    </r>
    <r>
      <rPr>
        <b/>
        <sz val="12"/>
        <color theme="1"/>
        <rFont val="Calibri"/>
        <family val="2"/>
        <charset val="1"/>
      </rPr>
      <t>BÖR</t>
    </r>
    <r>
      <rPr>
        <sz val="12"/>
        <color theme="1"/>
        <rFont val="Calibri"/>
        <family val="2"/>
        <charset val="1"/>
      </rPr>
      <t xml:space="preserve"> användas bekräfta giltigheten på input till ett API. Exempelvis meddelandestorlek, kontroll av scheman, kontroll av headers eller kontroll av sökparametrar.</t>
    </r>
  </si>
  <si>
    <t>SAK.32</t>
  </si>
  <si>
    <r>
      <rPr>
        <sz val="12"/>
        <color theme="1"/>
        <rFont val="Calibri"/>
        <family val="2"/>
        <charset val="1"/>
      </rPr>
      <t xml:space="preserve">SSL protokoll (TLS 1.2) </t>
    </r>
    <r>
      <rPr>
        <b/>
        <sz val="12"/>
        <color theme="1"/>
        <rFont val="Calibri"/>
        <family val="2"/>
        <charset val="1"/>
      </rPr>
      <t>BÖR</t>
    </r>
    <r>
      <rPr>
        <sz val="12"/>
        <color theme="1"/>
        <rFont val="Calibri"/>
        <family val="2"/>
        <charset val="1"/>
      </rPr>
      <t xml:space="preserve"> användas.</t>
    </r>
  </si>
  <si>
    <t>SAK.35</t>
  </si>
  <si>
    <r>
      <rPr>
        <sz val="12"/>
        <color theme="1"/>
        <rFont val="Calibri"/>
        <family val="2"/>
        <charset val="1"/>
      </rPr>
      <t xml:space="preserve">API Keys </t>
    </r>
    <r>
      <rPr>
        <b/>
        <sz val="12"/>
        <color theme="1"/>
        <rFont val="Calibri"/>
        <family val="2"/>
        <charset val="1"/>
      </rPr>
      <t>BÖR</t>
    </r>
    <r>
      <rPr>
        <sz val="12"/>
        <color theme="1"/>
        <rFont val="Calibri"/>
        <family val="2"/>
        <charset val="1"/>
      </rPr>
      <t xml:space="preserve"> användas för identifiera en klient.</t>
    </r>
  </si>
  <si>
    <t>SAK.36</t>
  </si>
  <si>
    <r>
      <rPr>
        <sz val="12"/>
        <color theme="1"/>
        <rFont val="Calibri"/>
        <family val="2"/>
        <charset val="1"/>
      </rPr>
      <t xml:space="preserve">OAUTH </t>
    </r>
    <r>
      <rPr>
        <b/>
        <sz val="12"/>
        <color theme="1"/>
        <rFont val="Calibri"/>
        <family val="2"/>
        <charset val="1"/>
      </rPr>
      <t>BÖR</t>
    </r>
    <r>
      <rPr>
        <sz val="12"/>
        <color theme="1"/>
        <rFont val="Calibri"/>
        <family val="2"/>
        <charset val="1"/>
      </rPr>
      <t xml:space="preserve"> användas för identifiera en klient.</t>
    </r>
  </si>
  <si>
    <t>SAK.37</t>
  </si>
  <si>
    <r>
      <rPr>
        <sz val="12"/>
        <color theme="1"/>
        <rFont val="Calibri"/>
        <family val="2"/>
        <charset val="1"/>
      </rPr>
      <t xml:space="preserve">CORS </t>
    </r>
    <r>
      <rPr>
        <b/>
        <sz val="12"/>
        <color theme="1"/>
        <rFont val="Calibri"/>
        <family val="2"/>
        <charset val="1"/>
      </rPr>
      <t>BÖR</t>
    </r>
    <r>
      <rPr>
        <sz val="12"/>
        <color theme="1"/>
        <rFont val="Calibri"/>
        <family val="2"/>
        <charset val="1"/>
      </rPr>
      <t xml:space="preserve"> tillåta resursdelning över domängränser när det är nödvändigt.</t>
    </r>
  </si>
  <si>
    <t>API Message</t>
  </si>
  <si>
    <t>AME.01</t>
  </si>
  <si>
    <r>
      <rPr>
        <sz val="12"/>
        <color theme="1"/>
        <rFont val="Calibri"/>
        <family val="2"/>
        <charset val="1"/>
      </rPr>
      <t xml:space="preserve">Datamodellen för en representation </t>
    </r>
    <r>
      <rPr>
        <b/>
        <sz val="12"/>
        <color theme="1"/>
        <rFont val="Calibri"/>
        <family val="2"/>
        <charset val="1"/>
      </rPr>
      <t xml:space="preserve">BÖR </t>
    </r>
    <r>
      <rPr>
        <sz val="12"/>
        <color theme="1"/>
        <rFont val="Calibri"/>
        <family val="2"/>
        <charset val="1"/>
      </rPr>
      <t>beskrivas med JSON enligt senaste versionen, RFC 8259.</t>
    </r>
  </si>
  <si>
    <t>Datamodell för representation</t>
  </si>
  <si>
    <t>AME.02</t>
  </si>
  <si>
    <r>
      <rPr>
        <sz val="12"/>
        <color theme="1"/>
        <rFont val="Calibri"/>
        <family val="2"/>
        <charset val="1"/>
      </rPr>
      <t xml:space="preserve">Det </t>
    </r>
    <r>
      <rPr>
        <b/>
        <sz val="12"/>
        <color theme="1"/>
        <rFont val="Calibri"/>
        <family val="2"/>
        <charset val="1"/>
      </rPr>
      <t>BÖR</t>
    </r>
    <r>
      <rPr>
        <sz val="12"/>
        <color theme="1"/>
        <rFont val="Calibri"/>
        <family val="2"/>
        <charset val="1"/>
      </rPr>
      <t xml:space="preserve"> förutsättas att alla request headers som standard använder Accept med värde application/json. </t>
    </r>
  </si>
  <si>
    <t>Namnsättningskonvention för message</t>
  </si>
  <si>
    <t>AME.04</t>
  </si>
  <si>
    <r>
      <rPr>
        <sz val="12"/>
        <color theme="1"/>
        <rFont val="Calibri"/>
        <family val="2"/>
        <charset val="1"/>
      </rPr>
      <t>För fältnamn i request och response body </t>
    </r>
    <r>
      <rPr>
        <b/>
        <sz val="12"/>
        <color theme="1"/>
        <rFont val="Calibri"/>
        <family val="2"/>
        <charset val="1"/>
      </rPr>
      <t>BÖR</t>
    </r>
    <r>
      <rPr>
        <sz val="12"/>
        <color theme="1"/>
        <rFont val="Calibri"/>
        <family val="2"/>
        <charset val="1"/>
      </rPr>
      <t> </t>
    </r>
    <r>
      <rPr>
        <i/>
        <sz val="12"/>
        <color theme="1"/>
        <rFont val="Calibri"/>
        <family val="2"/>
        <charset val="1"/>
      </rPr>
      <t xml:space="preserve">camelCase </t>
    </r>
    <r>
      <rPr>
        <sz val="12"/>
        <color theme="1"/>
        <rFont val="Calibri"/>
        <family val="2"/>
        <charset val="1"/>
      </rPr>
      <t>eller</t>
    </r>
    <r>
      <rPr>
        <i/>
        <sz val="12"/>
        <color theme="1"/>
        <rFont val="Calibri"/>
        <family val="2"/>
        <charset val="1"/>
      </rPr>
      <t xml:space="preserve"> snake_case </t>
    </r>
    <r>
      <rPr>
        <sz val="12"/>
        <color theme="1"/>
        <rFont val="Calibri"/>
        <family val="2"/>
        <charset val="1"/>
      </rPr>
      <t>notation användas.</t>
    </r>
  </si>
  <si>
    <t>AME.05</t>
  </si>
  <si>
    <r>
      <rPr>
        <sz val="12"/>
        <color theme="1"/>
        <rFont val="Calibri"/>
        <family val="2"/>
        <charset val="1"/>
      </rPr>
      <t xml:space="preserve">Inom ett API </t>
    </r>
    <r>
      <rPr>
        <b/>
        <sz val="12"/>
        <color theme="1"/>
        <rFont val="Calibri"/>
        <family val="2"/>
        <charset val="1"/>
      </rPr>
      <t>SKALL</t>
    </r>
    <r>
      <rPr>
        <sz val="12"/>
        <color theme="1"/>
        <rFont val="Calibri"/>
        <family val="2"/>
        <charset val="1"/>
      </rPr>
      <t xml:space="preserve"> namnsättningen vara konsekvent, dvs blanda inte </t>
    </r>
    <r>
      <rPr>
        <i/>
        <sz val="12"/>
        <color theme="1"/>
        <rFont val="Calibri"/>
        <family val="2"/>
        <charset val="1"/>
      </rPr>
      <t>camelCase</t>
    </r>
    <r>
      <rPr>
        <sz val="12"/>
        <color theme="1"/>
        <rFont val="Calibri"/>
        <family val="2"/>
        <charset val="1"/>
      </rPr>
      <t xml:space="preserve"> och </t>
    </r>
    <r>
      <rPr>
        <i/>
        <sz val="12"/>
        <color theme="1"/>
        <rFont val="Calibri"/>
        <family val="2"/>
        <charset val="1"/>
      </rPr>
      <t>snake_case.</t>
    </r>
  </si>
  <si>
    <t>AME.06</t>
  </si>
  <si>
    <r>
      <rPr>
        <sz val="12"/>
        <color theme="1"/>
        <rFont val="Calibri"/>
        <family val="2"/>
        <charset val="1"/>
      </rPr>
      <t>Fältnamn som representerar listor </t>
    </r>
    <r>
      <rPr>
        <b/>
        <sz val="12"/>
        <color theme="1"/>
        <rFont val="Calibri"/>
        <family val="2"/>
        <charset val="1"/>
      </rPr>
      <t>SKALL</t>
    </r>
    <r>
      <rPr>
        <sz val="12"/>
        <color theme="1"/>
        <rFont val="Calibri"/>
        <family val="2"/>
        <charset val="1"/>
      </rPr>
      <t xml:space="preserve"> namnges i pluralform.</t>
    </r>
  </si>
  <si>
    <t>AME.07</t>
  </si>
  <si>
    <r>
      <rPr>
        <sz val="12"/>
        <color theme="1"/>
        <rFont val="Calibri"/>
        <family val="2"/>
        <charset val="1"/>
      </rPr>
      <t xml:space="preserve">Fältnamn </t>
    </r>
    <r>
      <rPr>
        <b/>
        <sz val="12"/>
        <color theme="1"/>
        <rFont val="Calibri"/>
        <family val="2"/>
        <charset val="1"/>
      </rPr>
      <t>BÖR</t>
    </r>
    <r>
      <rPr>
        <sz val="12"/>
        <color theme="1"/>
        <rFont val="Calibri"/>
        <family val="2"/>
        <charset val="1"/>
      </rPr>
      <t xml:space="preserve"> använda tecken som är alfanumeriska.</t>
    </r>
  </si>
  <si>
    <t>API Request</t>
  </si>
  <si>
    <t>ARQ.01</t>
  </si>
  <si>
    <r>
      <rPr>
        <sz val="12"/>
        <color theme="1"/>
        <rFont val="Calibri"/>
        <family val="2"/>
        <charset val="1"/>
      </rPr>
      <t xml:space="preserve">Ett API request </t>
    </r>
    <r>
      <rPr>
        <b/>
        <sz val="12"/>
        <color theme="1"/>
        <rFont val="Calibri"/>
        <family val="2"/>
        <charset val="1"/>
      </rPr>
      <t>BÖR</t>
    </r>
    <r>
      <rPr>
        <sz val="12"/>
        <color theme="1"/>
        <rFont val="Calibri"/>
        <family val="2"/>
        <charset val="1"/>
      </rPr>
      <t xml:space="preserve"> skickas i UTF-8 format.</t>
    </r>
  </si>
  <si>
    <t>Request headers</t>
  </si>
  <si>
    <t>ARQ.02</t>
  </si>
  <si>
    <r>
      <rPr>
        <sz val="12"/>
        <color theme="1"/>
        <rFont val="Calibri"/>
        <family val="2"/>
        <charset val="1"/>
      </rPr>
      <t>Alla API:er </t>
    </r>
    <r>
      <rPr>
        <b/>
        <sz val="12"/>
        <color theme="1"/>
        <rFont val="Calibri"/>
        <family val="2"/>
        <charset val="1"/>
      </rPr>
      <t>SKALL</t>
    </r>
    <r>
      <rPr>
        <sz val="12"/>
        <color theme="1"/>
        <rFont val="Calibri"/>
        <family val="2"/>
        <charset val="1"/>
      </rPr>
      <t xml:space="preserve"> supportera följande request headers:
• </t>
    </r>
    <r>
      <rPr>
        <i/>
        <sz val="12"/>
        <color theme="1"/>
        <rFont val="Calibri"/>
        <family val="2"/>
        <charset val="1"/>
      </rPr>
      <t>Authorization
• Content-type</t>
    </r>
  </si>
  <si>
    <t>ARQ.03</t>
  </si>
  <si>
    <r>
      <rPr>
        <sz val="12"/>
        <color theme="1"/>
        <rFont val="Calibri"/>
        <family val="2"/>
        <charset val="1"/>
      </rPr>
      <t>Alla API:er </t>
    </r>
    <r>
      <rPr>
        <b/>
        <sz val="12"/>
        <color theme="1"/>
        <rFont val="Calibri"/>
        <family val="2"/>
        <charset val="1"/>
      </rPr>
      <t>BÖR</t>
    </r>
    <r>
      <rPr>
        <sz val="12"/>
        <color theme="1"/>
        <rFont val="Calibri"/>
        <family val="2"/>
        <charset val="1"/>
      </rPr>
      <t xml:space="preserve"> supportera följande request headers:
• </t>
    </r>
    <r>
      <rPr>
        <i/>
        <sz val="12"/>
        <color theme="1"/>
        <rFont val="Calibri"/>
        <family val="2"/>
        <charset val="1"/>
      </rPr>
      <t xml:space="preserve">Accept = application/json
• Date
• Cache-Control
• If-None-Match
• Connection
</t>
    </r>
    <r>
      <rPr>
        <sz val="12"/>
        <color theme="1"/>
        <rFont val="Calibri"/>
        <family val="2"/>
        <charset val="1"/>
      </rPr>
      <t>• Cookie</t>
    </r>
  </si>
  <si>
    <t>ARQ.05</t>
  </si>
  <si>
    <r>
      <rPr>
        <sz val="12"/>
        <color theme="1"/>
        <rFont val="Calibri"/>
        <family val="2"/>
        <charset val="1"/>
      </rPr>
      <t xml:space="preserve">Payload data </t>
    </r>
    <r>
      <rPr>
        <b/>
        <sz val="12"/>
        <color theme="1"/>
        <rFont val="Calibri"/>
        <family val="2"/>
        <charset val="1"/>
      </rPr>
      <t>SKALL INTE</t>
    </r>
    <r>
      <rPr>
        <sz val="12"/>
        <color theme="1"/>
        <rFont val="Calibri"/>
        <family val="2"/>
        <charset val="1"/>
      </rPr>
      <t xml:space="preserve"> användas i HTTP-headers.</t>
    </r>
  </si>
  <si>
    <t>Idempotens</t>
  </si>
  <si>
    <t>ARQ.06</t>
  </si>
  <si>
    <r>
      <rPr>
        <sz val="12"/>
        <color theme="1"/>
        <rFont val="Calibri"/>
        <family val="2"/>
        <charset val="1"/>
      </rPr>
      <t xml:space="preserve">Följande REST API-metoder </t>
    </r>
    <r>
      <rPr>
        <b/>
        <sz val="12"/>
        <color theme="1"/>
        <rFont val="Calibri"/>
        <family val="2"/>
        <charset val="1"/>
      </rPr>
      <t>SKALL</t>
    </r>
    <r>
      <rPr>
        <sz val="12"/>
        <color theme="1"/>
        <rFont val="Calibri"/>
        <family val="2"/>
        <charset val="1"/>
      </rPr>
      <t xml:space="preserve"> vara idempotenta:
•</t>
    </r>
    <r>
      <rPr>
        <i/>
        <sz val="12"/>
        <color theme="1"/>
        <rFont val="Calibri"/>
        <family val="2"/>
        <charset val="1"/>
      </rPr>
      <t xml:space="preserve"> GET
• PUT
• DELETE
• HEAD
• OPTION</t>
    </r>
  </si>
  <si>
    <t>API Response</t>
  </si>
  <si>
    <t>HTTP Response koder</t>
  </si>
  <si>
    <t>ARP.02</t>
  </si>
  <si>
    <r>
      <rPr>
        <sz val="12"/>
        <color theme="1"/>
        <rFont val="Calibri"/>
        <family val="2"/>
        <charset val="1"/>
      </rPr>
      <t xml:space="preserve">Svar som är vanligt förekommande </t>
    </r>
    <r>
      <rPr>
        <b/>
        <sz val="12"/>
        <color theme="1"/>
        <rFont val="Calibri"/>
        <family val="2"/>
        <charset val="1"/>
      </rPr>
      <t>BÖR</t>
    </r>
    <r>
      <rPr>
        <sz val="12"/>
        <color theme="1"/>
        <rFont val="Calibri"/>
        <family val="2"/>
        <charset val="1"/>
      </rPr>
      <t xml:space="preserve"> stödjas av ett API när det är tillämpbart enligt RFC 9110.</t>
    </r>
  </si>
  <si>
    <t>ARP.03</t>
  </si>
  <si>
    <r>
      <rPr>
        <sz val="12"/>
        <color theme="1"/>
        <rFont val="Calibri"/>
        <family val="2"/>
        <charset val="1"/>
      </rPr>
      <t xml:space="preserve">HTTP 201 svarets HTTP header </t>
    </r>
    <r>
      <rPr>
        <i/>
        <sz val="12"/>
        <color theme="1"/>
        <rFont val="Calibri"/>
        <family val="2"/>
        <charset val="1"/>
      </rPr>
      <t>Location</t>
    </r>
    <r>
      <rPr>
        <sz val="12"/>
        <color theme="1"/>
        <rFont val="Calibri"/>
        <family val="2"/>
        <charset val="1"/>
      </rPr>
      <t xml:space="preserve"> </t>
    </r>
    <r>
      <rPr>
        <b/>
        <sz val="12"/>
        <color theme="1"/>
        <rFont val="Calibri"/>
        <family val="2"/>
        <charset val="1"/>
      </rPr>
      <t>BÖR</t>
    </r>
    <r>
      <rPr>
        <sz val="12"/>
        <color theme="1"/>
        <rFont val="Calibri"/>
        <family val="2"/>
        <charset val="1"/>
      </rPr>
      <t xml:space="preserve"> returneras för att ange var den nyskapade resursen är tillgänglig.</t>
    </r>
  </si>
  <si>
    <t>ARP.04</t>
  </si>
  <si>
    <r>
      <rPr>
        <sz val="12"/>
        <color theme="1"/>
        <rFont val="Calibri"/>
        <family val="2"/>
        <charset val="1"/>
      </rPr>
      <t xml:space="preserve">HTTP 202 svarets HTTP header </t>
    </r>
    <r>
      <rPr>
        <i/>
        <sz val="12"/>
        <color theme="1"/>
        <rFont val="Calibri"/>
        <family val="2"/>
        <charset val="1"/>
      </rPr>
      <t>Location</t>
    </r>
    <r>
      <rPr>
        <sz val="12"/>
        <color theme="1"/>
        <rFont val="Calibri"/>
        <family val="2"/>
        <charset val="1"/>
      </rPr>
      <t xml:space="preserve"> </t>
    </r>
    <r>
      <rPr>
        <b/>
        <sz val="12"/>
        <color theme="1"/>
        <rFont val="Calibri"/>
        <family val="2"/>
        <charset val="1"/>
      </rPr>
      <t>BÖR</t>
    </r>
    <r>
      <rPr>
        <sz val="12"/>
        <color theme="1"/>
        <rFont val="Calibri"/>
        <family val="2"/>
        <charset val="1"/>
      </rPr>
      <t xml:space="preserve"> returneras för att ange var den skapade resursen kommer att vara tillgänglig.</t>
    </r>
  </si>
  <si>
    <t>FEL.01</t>
  </si>
  <si>
    <r>
      <rPr>
        <sz val="12"/>
        <color theme="1"/>
        <rFont val="Calibri"/>
        <family val="2"/>
        <charset val="1"/>
      </rPr>
      <t xml:space="preserve">Om HTTP svarskoderna inte räcker </t>
    </r>
    <r>
      <rPr>
        <b/>
        <sz val="12"/>
        <color theme="1"/>
        <rFont val="Calibri"/>
        <family val="2"/>
        <charset val="1"/>
      </rPr>
      <t>SKALL</t>
    </r>
    <r>
      <rPr>
        <sz val="12"/>
        <color theme="1"/>
        <rFont val="Calibri"/>
        <family val="2"/>
        <charset val="1"/>
      </rPr>
      <t xml:space="preserve"> API:et beskriva feldetaljer enligt schemat nedan.
Schemat enligt RFC 9457 kan innehålla nedan attribut och kräver att mediatypen application/problem+json eller application/problem+xml används i svaret.
• </t>
    </r>
    <r>
      <rPr>
        <i/>
        <sz val="12"/>
        <color theme="1"/>
        <rFont val="Calibri"/>
        <family val="2"/>
        <charset val="1"/>
      </rPr>
      <t>type
• title
• status
• detail
• instance</t>
    </r>
  </si>
  <si>
    <t>FEL.02</t>
  </si>
  <si>
    <r>
      <rPr>
        <sz val="12"/>
        <color theme="1"/>
        <rFont val="Calibri"/>
        <family val="2"/>
        <charset val="1"/>
      </rPr>
      <t xml:space="preserve">Schemat enligt RFC 9457 </t>
    </r>
    <r>
      <rPr>
        <b/>
        <sz val="12"/>
        <color theme="1"/>
        <rFont val="Calibri"/>
        <family val="2"/>
        <charset val="1"/>
      </rPr>
      <t>BÖR</t>
    </r>
    <r>
      <rPr>
        <sz val="12"/>
        <color theme="1"/>
        <rFont val="Calibri"/>
        <family val="2"/>
        <charset val="1"/>
      </rPr>
      <t xml:space="preserve"> innehålla de beskrivna attributen i FEL.01 och SKALL (FEL.02) använda mediatypen application/problem+json eller application/problem+xml i svaret.</t>
    </r>
  </si>
  <si>
    <t>Versionshantering</t>
  </si>
  <si>
    <t>Bakåtkompatibilitet</t>
  </si>
  <si>
    <t>VER.01</t>
  </si>
  <si>
    <r>
      <rPr>
        <sz val="12"/>
        <color theme="1"/>
        <rFont val="Calibri"/>
        <family val="2"/>
        <charset val="1"/>
      </rPr>
      <t xml:space="preserve">Ett API </t>
    </r>
    <r>
      <rPr>
        <b/>
        <sz val="12"/>
        <color theme="1"/>
        <rFont val="Calibri"/>
        <family val="2"/>
        <charset val="1"/>
      </rPr>
      <t>BÖR</t>
    </r>
    <r>
      <rPr>
        <sz val="12"/>
        <color theme="1"/>
        <rFont val="Calibri"/>
        <family val="2"/>
        <charset val="1"/>
      </rPr>
      <t xml:space="preserve"> så långt som möjligt ha en lös koppling mellan producent och konsument. </t>
    </r>
  </si>
  <si>
    <t>VER.02</t>
  </si>
  <si>
    <r>
      <rPr>
        <sz val="12"/>
        <color theme="1"/>
        <rFont val="Calibri"/>
        <family val="2"/>
        <charset val="1"/>
      </rPr>
      <t xml:space="preserve">Som producent av ett API </t>
    </r>
    <r>
      <rPr>
        <b/>
        <sz val="12"/>
        <color theme="1"/>
        <rFont val="Calibri"/>
        <family val="2"/>
        <charset val="1"/>
      </rPr>
      <t>BÖR</t>
    </r>
    <r>
      <rPr>
        <sz val="12"/>
        <color theme="1"/>
        <rFont val="Calibri"/>
        <family val="2"/>
        <charset val="1"/>
      </rPr>
      <t xml:space="preserve"> man undvika att införa icke bakåtkompatibla ändringar i sitt API och ibland är det oundvikligt. </t>
    </r>
  </si>
  <si>
    <t>VER.03</t>
  </si>
  <si>
    <r>
      <rPr>
        <sz val="12"/>
        <color theme="1"/>
        <rFont val="Calibri"/>
        <family val="2"/>
        <charset val="1"/>
      </rPr>
      <t xml:space="preserve">Som konsument </t>
    </r>
    <r>
      <rPr>
        <b/>
        <sz val="12"/>
        <color theme="1"/>
        <rFont val="Calibri"/>
        <family val="2"/>
        <charset val="1"/>
      </rPr>
      <t>BÖR</t>
    </r>
    <r>
      <rPr>
        <sz val="12"/>
        <color theme="1"/>
        <rFont val="Calibri"/>
        <family val="2"/>
        <charset val="1"/>
      </rPr>
      <t xml:space="preserve"> man alltid vara tolerant, förvänta sig och hantera oväntade svar i ett meddelande. </t>
    </r>
  </si>
  <si>
    <t>Versionsnumrering</t>
  </si>
  <si>
    <t>VER.04</t>
  </si>
  <si>
    <r>
      <rPr>
        <sz val="12"/>
        <color theme="1"/>
        <rFont val="Calibri"/>
        <family val="2"/>
        <charset val="1"/>
      </rPr>
      <t>Samtliga API:er </t>
    </r>
    <r>
      <rPr>
        <b/>
        <sz val="12"/>
        <color theme="1"/>
        <rFont val="Calibri"/>
        <family val="2"/>
        <charset val="1"/>
      </rPr>
      <t>SKALL</t>
    </r>
    <r>
      <rPr>
        <sz val="12"/>
        <color theme="1"/>
        <rFont val="Calibri"/>
        <family val="2"/>
        <charset val="1"/>
      </rPr>
      <t> använda semantisk versionshantering.</t>
    </r>
  </si>
  <si>
    <t>VER.05</t>
  </si>
  <si>
    <r>
      <rPr>
        <sz val="12"/>
        <color theme="1"/>
        <rFont val="Calibri"/>
        <family val="2"/>
        <charset val="1"/>
      </rPr>
      <t xml:space="preserve">Version </t>
    </r>
    <r>
      <rPr>
        <b/>
        <sz val="12"/>
        <color theme="1"/>
        <rFont val="Calibri"/>
        <family val="2"/>
        <charset val="1"/>
      </rPr>
      <t>BÖR</t>
    </r>
    <r>
      <rPr>
        <sz val="12"/>
        <color theme="1"/>
        <rFont val="Calibri"/>
        <family val="2"/>
        <charset val="1"/>
      </rPr>
      <t xml:space="preserve">  anges i URL enligt formatet v[x] där 'v' avser förkortning för version och x avser ett och bara ett nummer (0-n) för major-version</t>
    </r>
  </si>
  <si>
    <t>Information om ett API och dess version</t>
  </si>
  <si>
    <t>VER.06</t>
  </si>
  <si>
    <r>
      <rPr>
        <sz val="12"/>
        <color theme="1"/>
        <rFont val="Calibri"/>
        <family val="2"/>
        <charset val="1"/>
      </rPr>
      <t>Information om ett API </t>
    </r>
    <r>
      <rPr>
        <b/>
        <sz val="12"/>
        <color theme="1"/>
        <rFont val="Calibri"/>
        <family val="2"/>
        <charset val="1"/>
      </rPr>
      <t>SKALL</t>
    </r>
    <r>
      <rPr>
        <sz val="12"/>
        <color theme="1"/>
        <rFont val="Calibri"/>
        <family val="2"/>
        <charset val="1"/>
      </rPr>
      <t xml:space="preserve"> tillgängliggöras via resursen </t>
    </r>
    <r>
      <rPr>
        <i/>
        <sz val="12"/>
        <color theme="1"/>
        <rFont val="Calibri"/>
        <family val="2"/>
        <charset val="1"/>
      </rPr>
      <t>api-info</t>
    </r>
    <r>
      <rPr>
        <sz val="12"/>
        <color theme="1"/>
        <rFont val="Calibri"/>
        <family val="2"/>
        <charset val="1"/>
      </rPr>
      <t xml:space="preserve"> under roten till API:et.</t>
    </r>
  </si>
  <si>
    <t>VER.07</t>
  </si>
  <si>
    <r>
      <rPr>
        <sz val="12"/>
        <color theme="1"/>
        <rFont val="Calibri"/>
        <family val="2"/>
        <charset val="1"/>
      </rPr>
      <t xml:space="preserve">Genom att utföra GET på resursen </t>
    </r>
    <r>
      <rPr>
        <i/>
        <sz val="12"/>
        <color theme="1"/>
        <rFont val="Calibri"/>
        <family val="2"/>
        <charset val="1"/>
      </rPr>
      <t>api-info</t>
    </r>
    <r>
      <rPr>
        <sz val="12"/>
        <color theme="1"/>
        <rFont val="Calibri"/>
        <family val="2"/>
        <charset val="1"/>
      </rPr>
      <t> </t>
    </r>
    <r>
      <rPr>
        <b/>
        <sz val="12"/>
        <color theme="1"/>
        <rFont val="Calibri"/>
        <family val="2"/>
        <charset val="1"/>
      </rPr>
      <t>SKALL</t>
    </r>
    <r>
      <rPr>
        <sz val="12"/>
        <color theme="1"/>
        <rFont val="Calibri"/>
        <family val="2"/>
        <charset val="1"/>
      </rPr>
      <t xml:space="preserve"> följande information returneras:
• </t>
    </r>
    <r>
      <rPr>
        <i/>
        <sz val="12"/>
        <color theme="1"/>
        <rFont val="Calibri"/>
        <family val="2"/>
        <charset val="1"/>
      </rPr>
      <t>apiName:</t>
    </r>
    <r>
      <rPr>
        <sz val="12"/>
        <color theme="1"/>
        <rFont val="Calibri"/>
        <family val="2"/>
        <charset val="1"/>
      </rPr>
      <t xml:space="preserve"> Namn på API
• </t>
    </r>
    <r>
      <rPr>
        <i/>
        <sz val="12"/>
        <color theme="1"/>
        <rFont val="Calibri"/>
        <family val="2"/>
        <charset val="1"/>
      </rPr>
      <t>apiVersion:</t>
    </r>
    <r>
      <rPr>
        <sz val="12"/>
        <color theme="1"/>
        <rFont val="Calibri"/>
        <family val="2"/>
        <charset val="1"/>
      </rPr>
      <t xml:space="preserve"> API-version med MAJOR, MINOR och PATCH version 
• </t>
    </r>
    <r>
      <rPr>
        <i/>
        <sz val="12"/>
        <color theme="1"/>
        <rFont val="Calibri"/>
        <family val="2"/>
        <charset val="1"/>
      </rPr>
      <t>apiReleased:</t>
    </r>
    <r>
      <rPr>
        <sz val="12"/>
        <color theme="1"/>
        <rFont val="Calibri"/>
        <family val="2"/>
        <charset val="1"/>
      </rPr>
      <t xml:space="preserve"> Datum som denna API-version publicerades
• </t>
    </r>
    <r>
      <rPr>
        <i/>
        <sz val="12"/>
        <color theme="1"/>
        <rFont val="Calibri"/>
        <family val="2"/>
        <charset val="1"/>
      </rPr>
      <t>apiDocumentation:</t>
    </r>
    <r>
      <rPr>
        <sz val="12"/>
        <color theme="1"/>
        <rFont val="Calibri"/>
        <family val="2"/>
        <charset val="1"/>
      </rPr>
      <t xml:space="preserve"> En länk till aktuell API dokumentation. Om API:et  består av flera delar (t.ex. flera webbsidor) bör en samlingsplats skapas för  alla delar skapas där alla delar är åtkomliga via länkar eller liknande
• </t>
    </r>
    <r>
      <rPr>
        <i/>
        <sz val="12"/>
        <color theme="1"/>
        <rFont val="Calibri"/>
        <family val="2"/>
        <charset val="1"/>
      </rPr>
      <t>apiStatus:</t>
    </r>
    <r>
      <rPr>
        <sz val="12"/>
        <color theme="1"/>
        <rFont val="Calibri"/>
        <family val="2"/>
        <charset val="1"/>
      </rPr>
      <t xml:space="preserve"> Visar API:ets tillstånd eller status enligt livscykelhantering  längre ned på denna sida. T.ex. beta, active eller deprecated</t>
    </r>
  </si>
  <si>
    <t>API utfasning</t>
  </si>
  <si>
    <t>VER.08</t>
  </si>
  <si>
    <r>
      <rPr>
        <sz val="12"/>
        <color theme="1"/>
        <rFont val="Calibri"/>
        <family val="2"/>
        <charset val="1"/>
      </rPr>
      <t>API ägare </t>
    </r>
    <r>
      <rPr>
        <b/>
        <sz val="12"/>
        <color theme="1"/>
        <rFont val="Calibri"/>
        <family val="2"/>
        <charset val="1"/>
      </rPr>
      <t>BÖR </t>
    </r>
    <r>
      <rPr>
        <sz val="12"/>
        <color theme="1"/>
        <rFont val="Calibri"/>
        <family val="2"/>
        <charset val="1"/>
      </rPr>
      <t>informera konsumenten i svaret på ett anrop, när en gammal version används. </t>
    </r>
  </si>
  <si>
    <t>VER.09</t>
  </si>
  <si>
    <r>
      <rPr>
        <sz val="12"/>
        <color theme="1"/>
        <rFont val="Calibri"/>
        <family val="2"/>
        <charset val="1"/>
      </rPr>
      <t xml:space="preserve">Fältet Deprecation följt av ett datum i svaret indikerar för konsumenten att en nyare version av API:t finns. Fältet Sunset följt av ett datum i svaret indikerar att denna version av API:t slutar att fungera vid det aktuella datumet. Datumet anges enligt standarden RFC 3339. Till dessa två fält kan man också lägga till länkar till den nyaste versionen eller ett alternativt API som man kan använda. Något av följande relationsvärden </t>
    </r>
    <r>
      <rPr>
        <b/>
        <sz val="12"/>
        <color theme="1"/>
        <rFont val="Calibri"/>
        <family val="2"/>
        <charset val="1"/>
      </rPr>
      <t>BÖR</t>
    </r>
    <r>
      <rPr>
        <sz val="12"/>
        <color theme="1"/>
        <rFont val="Calibri"/>
        <family val="2"/>
        <charset val="1"/>
      </rPr>
      <t xml:space="preserve"> användas:
• </t>
    </r>
    <r>
      <rPr>
        <i/>
        <sz val="12"/>
        <color theme="1"/>
        <rFont val="Calibri"/>
        <family val="2"/>
        <charset val="1"/>
      </rPr>
      <t>successor-version:</t>
    </r>
    <r>
      <rPr>
        <sz val="12"/>
        <color theme="1"/>
        <rFont val="Calibri"/>
        <family val="2"/>
        <charset val="1"/>
      </rPr>
      <t xml:space="preserve"> Pekar på den resurs som efterträdande den resurs som anropades (RFC 5829)
• </t>
    </r>
    <r>
      <rPr>
        <i/>
        <sz val="12"/>
        <color theme="1"/>
        <rFont val="Calibri"/>
        <family val="2"/>
        <charset val="1"/>
      </rPr>
      <t>latest-version:</t>
    </r>
    <r>
      <rPr>
        <sz val="12"/>
        <color theme="1"/>
        <rFont val="Calibri"/>
        <family val="2"/>
        <charset val="1"/>
      </rPr>
      <t xml:space="preserve"> Pekar på den senaste versionen av resursen (RFC 5829)
• </t>
    </r>
    <r>
      <rPr>
        <i/>
        <sz val="12"/>
        <color theme="1"/>
        <rFont val="Calibri"/>
        <family val="2"/>
        <charset val="1"/>
      </rPr>
      <t>alternate:</t>
    </r>
    <r>
      <rPr>
        <sz val="12"/>
        <color theme="1"/>
        <rFont val="Calibri"/>
        <family val="2"/>
        <charset val="1"/>
      </rPr>
      <t xml:space="preserve"> Pekar på en alternativ resurs (HTML 4.01 Specification)</t>
    </r>
  </si>
  <si>
    <t>Tillstånd för ett API</t>
  </si>
  <si>
    <t>VER.10</t>
  </si>
  <si>
    <r>
      <rPr>
        <sz val="12"/>
        <color theme="1"/>
        <rFont val="Calibri"/>
        <family val="2"/>
        <charset val="1"/>
      </rPr>
      <t xml:space="preserve">Följande tillstånd eller status </t>
    </r>
    <r>
      <rPr>
        <b/>
        <sz val="12"/>
        <color theme="1"/>
        <rFont val="Calibri"/>
        <family val="2"/>
        <charset val="1"/>
      </rPr>
      <t>BÖR</t>
    </r>
    <r>
      <rPr>
        <sz val="12"/>
        <color theme="1"/>
        <rFont val="Calibri"/>
        <family val="2"/>
        <charset val="1"/>
      </rPr>
      <t xml:space="preserve"> användas för att beskriva vart i livscykeln ett API befinner sig i:
• alpha
• beta
• active
• deprecated
• retired
• decommisioned</t>
    </r>
  </si>
  <si>
    <t>Versionshanteringsregler för ett API:s livscykel</t>
  </si>
  <si>
    <t>VER.11</t>
  </si>
  <si>
    <r>
      <rPr>
        <sz val="12"/>
        <color theme="1"/>
        <rFont val="Calibri"/>
        <family val="2"/>
        <charset val="1"/>
      </rPr>
      <t xml:space="preserve">Versioner som befinner sig i status </t>
    </r>
    <r>
      <rPr>
        <i/>
        <sz val="12"/>
        <color theme="1"/>
        <rFont val="Calibri"/>
        <family val="2"/>
        <charset val="1"/>
      </rPr>
      <t xml:space="preserve">alpha </t>
    </r>
    <r>
      <rPr>
        <sz val="12"/>
        <color theme="1"/>
        <rFont val="Calibri"/>
        <family val="2"/>
        <charset val="1"/>
      </rPr>
      <t xml:space="preserve">eller </t>
    </r>
    <r>
      <rPr>
        <i/>
        <sz val="12"/>
        <color theme="1"/>
        <rFont val="Calibri"/>
        <family val="2"/>
        <charset val="1"/>
      </rPr>
      <t>beta </t>
    </r>
    <r>
      <rPr>
        <b/>
        <sz val="12"/>
        <color theme="1"/>
        <rFont val="Calibri"/>
        <family val="2"/>
        <charset val="1"/>
      </rPr>
      <t>SKALL</t>
    </r>
    <r>
      <rPr>
        <sz val="12"/>
        <color theme="1"/>
        <rFont val="Calibri"/>
        <family val="2"/>
        <charset val="1"/>
      </rPr>
      <t> börja med en MAJOR version med siffran ”0”. </t>
    </r>
  </si>
  <si>
    <t>VER.12</t>
  </si>
  <si>
    <r>
      <rPr>
        <sz val="12"/>
        <color theme="1"/>
        <rFont val="Calibri"/>
        <family val="2"/>
        <charset val="1"/>
      </rPr>
      <t>API:ets första publika version i status </t>
    </r>
    <r>
      <rPr>
        <i/>
        <sz val="12"/>
        <color theme="1"/>
        <rFont val="Calibri"/>
        <family val="2"/>
        <charset val="1"/>
      </rPr>
      <t>active</t>
    </r>
    <r>
      <rPr>
        <b/>
        <i/>
        <sz val="12"/>
        <color theme="1"/>
        <rFont val="Calibri"/>
        <family val="2"/>
        <charset val="1"/>
      </rPr>
      <t> </t>
    </r>
    <r>
      <rPr>
        <b/>
        <sz val="12"/>
        <color theme="1"/>
        <rFont val="Calibri"/>
        <family val="2"/>
        <charset val="1"/>
      </rPr>
      <t>SKALL</t>
    </r>
    <r>
      <rPr>
        <sz val="12"/>
        <color theme="1"/>
        <rFont val="Calibri"/>
        <family val="2"/>
        <charset val="1"/>
      </rPr>
      <t> alltid börja med en MAJOR version med siffran ”1”.</t>
    </r>
  </si>
  <si>
    <t>VER.13</t>
  </si>
  <si>
    <r>
      <rPr>
        <sz val="12"/>
        <color theme="1"/>
        <rFont val="Calibri"/>
        <family val="2"/>
        <charset val="1"/>
      </rPr>
      <t>Eftersom MINOR versioner är bakåtkompatibla med föregående MINOR versioner inom samma MAJOR version </t>
    </r>
    <r>
      <rPr>
        <b/>
        <sz val="12"/>
        <color theme="1"/>
        <rFont val="Calibri"/>
        <family val="2"/>
        <charset val="1"/>
      </rPr>
      <t>SKALL</t>
    </r>
    <r>
      <rPr>
        <sz val="12"/>
        <color theme="1"/>
        <rFont val="Calibri"/>
        <family val="2"/>
        <charset val="1"/>
      </rPr>
      <t> MINOR versioner anses </t>
    </r>
    <r>
      <rPr>
        <i/>
        <sz val="12"/>
        <color theme="1"/>
        <rFont val="Calibri"/>
        <family val="2"/>
        <charset val="1"/>
      </rPr>
      <t>retired </t>
    </r>
    <r>
      <rPr>
        <sz val="12"/>
        <color theme="1"/>
        <rFont val="Calibri"/>
        <family val="2"/>
        <charset val="1"/>
      </rPr>
      <t>direkt när en ny MINOR version av samma MAJOR version blir </t>
    </r>
    <r>
      <rPr>
        <i/>
        <sz val="12"/>
        <color theme="1"/>
        <rFont val="Calibri"/>
        <family val="2"/>
        <charset val="1"/>
      </rPr>
      <t>active</t>
    </r>
    <r>
      <rPr>
        <sz val="12"/>
        <color theme="1"/>
        <rFont val="Calibri"/>
        <family val="2"/>
        <charset val="1"/>
      </rPr>
      <t>.</t>
    </r>
  </si>
  <si>
    <t>VER.14</t>
  </si>
  <si>
    <r>
      <rPr>
        <sz val="12"/>
        <color theme="1"/>
        <rFont val="Calibri"/>
        <family val="2"/>
        <charset val="1"/>
      </rPr>
      <t>När en ny MAJOR version publiceras så </t>
    </r>
    <r>
      <rPr>
        <b/>
        <sz val="12"/>
        <color theme="1"/>
        <rFont val="Calibri"/>
        <family val="2"/>
        <charset val="1"/>
      </rPr>
      <t>SKALL</t>
    </r>
    <r>
      <rPr>
        <sz val="12"/>
        <color theme="1"/>
        <rFont val="Calibri"/>
        <family val="2"/>
        <charset val="1"/>
      </rPr>
      <t xml:space="preserve"> de äldre versionerna fasas ut. </t>
    </r>
  </si>
  <si>
    <t>VER.15</t>
  </si>
  <si>
    <r>
      <rPr>
        <sz val="12"/>
        <color theme="1"/>
        <rFont val="Calibri"/>
        <family val="2"/>
        <charset val="1"/>
      </rPr>
      <t>En MAJOR version</t>
    </r>
    <r>
      <rPr>
        <b/>
        <sz val="12"/>
        <color theme="1"/>
        <rFont val="Calibri"/>
        <family val="2"/>
        <charset val="1"/>
      </rPr>
      <t> SKALL INTE</t>
    </r>
    <r>
      <rPr>
        <sz val="12"/>
        <color theme="1"/>
        <rFont val="Calibri"/>
        <family val="2"/>
        <charset val="1"/>
      </rPr>
      <t xml:space="preserve"> sättas till </t>
    </r>
    <r>
      <rPr>
        <i/>
        <sz val="12"/>
        <color theme="1"/>
        <rFont val="Calibri"/>
        <family val="2"/>
        <charset val="1"/>
      </rPr>
      <t>deprecated</t>
    </r>
    <r>
      <rPr>
        <sz val="12"/>
        <color theme="1"/>
        <rFont val="Calibri"/>
        <family val="2"/>
        <charset val="1"/>
      </rPr>
      <t xml:space="preserve"> förrän en ersättare är active och det finns en tydlig migrationsväg för all funktionalitet som upprätthålls framåt. </t>
    </r>
  </si>
  <si>
    <t>VER.16</t>
  </si>
  <si>
    <r>
      <rPr>
        <sz val="12"/>
        <color theme="1"/>
        <rFont val="Calibri"/>
        <family val="2"/>
        <charset val="1"/>
      </rPr>
      <t>Detta </t>
    </r>
    <r>
      <rPr>
        <b/>
        <sz val="12"/>
        <color theme="1"/>
        <rFont val="Calibri"/>
        <family val="2"/>
        <charset val="1"/>
      </rPr>
      <t>BÖR</t>
    </r>
    <r>
      <rPr>
        <sz val="12"/>
        <color theme="1"/>
        <rFont val="Calibri"/>
        <family val="2"/>
        <charset val="1"/>
      </rPr>
      <t> inkludera dokumentation och migrationsverktyg/exempelkod som beskriver vad konsumenterna behöver göra för en ren migration.</t>
    </r>
  </si>
  <si>
    <t>VER.17</t>
  </si>
  <si>
    <r>
      <rPr>
        <sz val="12"/>
        <color theme="1"/>
        <rFont val="Calibri"/>
        <family val="2"/>
        <charset val="1"/>
      </rPr>
      <t>Om ett API ska sättas till </t>
    </r>
    <r>
      <rPr>
        <i/>
        <sz val="12"/>
        <color theme="1"/>
        <rFont val="Calibri"/>
        <family val="2"/>
        <charset val="1"/>
      </rPr>
      <t>deprecated</t>
    </r>
    <r>
      <rPr>
        <b/>
        <i/>
        <sz val="12"/>
        <color theme="1"/>
        <rFont val="Calibri"/>
        <family val="2"/>
        <charset val="1"/>
      </rPr>
      <t> </t>
    </r>
    <r>
      <rPr>
        <sz val="12"/>
        <color theme="1"/>
        <rFont val="Calibri"/>
        <family val="2"/>
        <charset val="1"/>
      </rPr>
      <t>och samtidigt har externa konsumenter </t>
    </r>
    <r>
      <rPr>
        <b/>
        <sz val="12"/>
        <color theme="1"/>
        <rFont val="Calibri"/>
        <family val="2"/>
        <charset val="1"/>
      </rPr>
      <t>BÖR</t>
    </r>
    <r>
      <rPr>
        <sz val="12"/>
        <color theme="1"/>
        <rFont val="Calibri"/>
        <family val="2"/>
        <charset val="1"/>
      </rPr>
      <t> tid för utfasning och begränsningar övervägas för att minimera kundpåverkan.</t>
    </r>
  </si>
  <si>
    <t>VER.18</t>
  </si>
  <si>
    <r>
      <rPr>
        <sz val="12"/>
        <color theme="1"/>
        <rFont val="Calibri"/>
        <family val="2"/>
        <charset val="1"/>
      </rPr>
      <t xml:space="preserve">API i statusen deprecated </t>
    </r>
    <r>
      <rPr>
        <b/>
        <sz val="12"/>
        <color theme="1"/>
        <rFont val="Calibri"/>
        <family val="2"/>
        <charset val="1"/>
      </rPr>
      <t>SKALL</t>
    </r>
    <r>
      <rPr>
        <sz val="12"/>
        <color theme="1"/>
        <rFont val="Calibri"/>
        <family val="2"/>
        <charset val="1"/>
      </rPr>
      <t xml:space="preserve"> vara i status deprecated under en tillräckligt lång tid för att ge konsumenterna möjlighet att kunna migrera.</t>
    </r>
  </si>
  <si>
    <t>VER.19</t>
  </si>
  <si>
    <r>
      <rPr>
        <sz val="12"/>
        <color theme="1"/>
        <rFont val="Calibri"/>
        <family val="2"/>
        <charset val="1"/>
      </rPr>
      <t xml:space="preserve">Om ett API i status active eller deprecated inte har några användare så </t>
    </r>
    <r>
      <rPr>
        <b/>
        <sz val="12"/>
        <color theme="1"/>
        <rFont val="Calibri"/>
        <family val="2"/>
        <charset val="1"/>
      </rPr>
      <t>BÖR</t>
    </r>
    <r>
      <rPr>
        <sz val="12"/>
        <color theme="1"/>
        <rFont val="Calibri"/>
        <family val="2"/>
        <charset val="1"/>
      </rPr>
      <t xml:space="preserve"> det direkt sättas i status retired.</t>
    </r>
  </si>
  <si>
    <t>Spårbarhet och korrelation</t>
  </si>
  <si>
    <t>SPA.01</t>
  </si>
  <si>
    <r>
      <rPr>
        <sz val="12"/>
        <color theme="1"/>
        <rFont val="Calibri"/>
        <family val="2"/>
        <charset val="1"/>
      </rPr>
      <t xml:space="preserve">API-producenter </t>
    </r>
    <r>
      <rPr>
        <b/>
        <sz val="12"/>
        <color theme="1"/>
        <rFont val="Calibri"/>
        <family val="2"/>
        <charset val="1"/>
      </rPr>
      <t>SKALL</t>
    </r>
    <r>
      <rPr>
        <sz val="12"/>
        <color theme="1"/>
        <rFont val="Calibri"/>
        <family val="2"/>
        <charset val="1"/>
      </rPr>
      <t xml:space="preserve"> stödja spårning av API-anrop enligt W3C Trace Context</t>
    </r>
  </si>
  <si>
    <t>SPA.02</t>
  </si>
  <si>
    <t>API-producenter SKALL (SPA.02) acceptera HTTP-headern traceparent i inkommande anrop och propagera spårningsinformationen vidare enligt W3C Trace Context vid vidare anrop till andra system.</t>
  </si>
  <si>
    <t>SPA.03</t>
  </si>
  <si>
    <r>
      <rPr>
        <sz val="12"/>
        <color theme="1"/>
        <rFont val="Calibri"/>
        <family val="2"/>
        <charset val="1"/>
      </rPr>
      <t xml:space="preserve">Om traceparent saknas i ett inkommande anrop </t>
    </r>
    <r>
      <rPr>
        <b/>
        <sz val="12"/>
        <color theme="1"/>
        <rFont val="Calibri"/>
        <family val="2"/>
        <charset val="1"/>
      </rPr>
      <t>SKALL</t>
    </r>
    <r>
      <rPr>
        <sz val="12"/>
        <color theme="1"/>
        <rFont val="Calibri"/>
        <family val="2"/>
        <charset val="1"/>
      </rPr>
      <t xml:space="preserve"> API-producenten generera en ny traceparent enligt W3C Trace Context.</t>
    </r>
  </si>
  <si>
    <t>SPA.04</t>
  </si>
  <si>
    <r>
      <rPr>
        <sz val="12"/>
        <color theme="1"/>
        <rFont val="Calibri"/>
        <family val="2"/>
        <charset val="1"/>
      </rPr>
      <t xml:space="preserve">API-producenten </t>
    </r>
    <r>
      <rPr>
        <b/>
        <sz val="12"/>
        <color theme="1"/>
        <rFont val="Calibri"/>
        <family val="2"/>
        <charset val="1"/>
      </rPr>
      <t>BÖR</t>
    </r>
    <r>
      <rPr>
        <sz val="12"/>
        <color theme="1"/>
        <rFont val="Calibri"/>
        <family val="2"/>
        <charset val="1"/>
      </rPr>
      <t xml:space="preserve"> inkludera HTTP-headern traceparent i ett API-svar.</t>
    </r>
  </si>
  <si>
    <t>SPA.06</t>
  </si>
  <si>
    <r>
      <rPr>
        <sz val="12"/>
        <color theme="1"/>
        <rFont val="Calibri"/>
        <family val="2"/>
        <charset val="1"/>
      </rPr>
      <t xml:space="preserve">Spårningsinformation som används vid API-anrop </t>
    </r>
    <r>
      <rPr>
        <b/>
        <sz val="12"/>
        <color theme="1"/>
        <rFont val="Calibri"/>
        <family val="2"/>
        <charset val="1"/>
      </rPr>
      <t>BÖR</t>
    </r>
    <r>
      <rPr>
        <sz val="12"/>
        <color theme="1"/>
        <rFont val="Calibri"/>
        <family val="2"/>
        <charset val="1"/>
      </rPr>
      <t xml:space="preserve"> användas för att möjliggöra korrelation mot applikationsloggar och revisionsloggar.</t>
    </r>
  </si>
  <si>
    <t>SPA.07</t>
  </si>
  <si>
    <r>
      <rPr>
        <sz val="12"/>
        <color theme="1"/>
        <rFont val="Calibri"/>
        <family val="2"/>
        <charset val="1"/>
      </rPr>
      <t xml:space="preserve">Alternativa identifierare, såsom x-request-id, kan användas som komplement för interna behov, men </t>
    </r>
    <r>
      <rPr>
        <b/>
        <sz val="12"/>
        <color theme="1"/>
        <rFont val="Calibri"/>
        <family val="2"/>
        <charset val="1"/>
      </rPr>
      <t>SKALL INTE</t>
    </r>
    <r>
      <rPr>
        <sz val="12"/>
        <color theme="1"/>
        <rFont val="Calibri"/>
        <family val="2"/>
        <charset val="1"/>
      </rPr>
      <t xml:space="preserve"> ersätta traceparent vid spårning av API-anrop mellan system och organisationer.</t>
    </r>
  </si>
  <si>
    <t>Webhooks</t>
  </si>
  <si>
    <t>WEB.01</t>
  </si>
  <si>
    <r>
      <rPr>
        <sz val="12"/>
        <color theme="1"/>
        <rFont val="Calibri"/>
        <family val="2"/>
        <charset val="1"/>
      </rPr>
      <t xml:space="preserve">Om Webhooks väljs att implementeras så bör följande designriktlinjer övervägas:
• Om känslig information skickas i Webhook, </t>
    </r>
    <r>
      <rPr>
        <b/>
        <sz val="12"/>
        <color theme="1"/>
        <rFont val="Calibri"/>
        <family val="2"/>
        <charset val="1"/>
      </rPr>
      <t>SKALL</t>
    </r>
    <r>
      <rPr>
        <sz val="12"/>
        <color theme="1"/>
        <rFont val="Calibri"/>
        <family val="2"/>
        <charset val="1"/>
      </rPr>
      <t xml:space="preserve"> kryptering/signering övervägas i POST request för att erhålla integritet och verifikation. TLS certifikat är också ett alternativ.</t>
    </r>
  </si>
  <si>
    <t>WEB.02</t>
  </si>
  <si>
    <r>
      <rPr>
        <sz val="12"/>
        <color theme="1"/>
        <rFont val="Calibri"/>
        <family val="2"/>
        <charset val="1"/>
      </rPr>
      <t xml:space="preserve">Om Webhooks väljs att implementeras så bör följande designriktlinjer övervägas:
• Ett unikt händelseid/transaktionsid </t>
    </r>
    <r>
      <rPr>
        <b/>
        <sz val="12"/>
        <color theme="1"/>
        <rFont val="Calibri"/>
        <family val="2"/>
        <charset val="1"/>
      </rPr>
      <t>BÖR</t>
    </r>
    <r>
      <rPr>
        <sz val="12"/>
        <color theme="1"/>
        <rFont val="Calibri"/>
        <family val="2"/>
        <charset val="1"/>
      </rPr>
      <t xml:space="preserve"> inkluderas i POST request, för att underlätta felsökning och loggning.</t>
    </r>
  </si>
  <si>
    <t>WEB.03</t>
  </si>
  <si>
    <r>
      <rPr>
        <sz val="12"/>
        <color theme="1"/>
        <rFont val="Calibri"/>
        <family val="2"/>
        <charset val="1"/>
      </rPr>
      <t xml:space="preserve">Om Webhooks väljs att implementeras så bör följande designriktlinjer övervägas:
• Konsumentens endpoint </t>
    </r>
    <r>
      <rPr>
        <b/>
        <sz val="12"/>
        <color theme="1"/>
        <rFont val="Calibri"/>
        <family val="2"/>
        <charset val="1"/>
      </rPr>
      <t>SKALL</t>
    </r>
    <r>
      <rPr>
        <sz val="12"/>
        <color theme="1"/>
        <rFont val="Calibri"/>
        <family val="2"/>
        <charset val="1"/>
      </rPr>
      <t xml:space="preserve"> alltid returnera ett svar på inkommen POST, så producenten vet att svaret är levererat.</t>
    </r>
  </si>
  <si>
    <t>WEB.04</t>
  </si>
  <si>
    <r>
      <rPr>
        <sz val="12"/>
        <color theme="1"/>
        <rFont val="Calibri"/>
        <family val="2"/>
        <charset val="1"/>
      </rPr>
      <t xml:space="preserve">Om Webhooks väljs att implementeras så bör följande designriktlinjer övervägas:
• API </t>
    </r>
    <r>
      <rPr>
        <b/>
        <sz val="12"/>
        <color theme="1"/>
        <rFont val="Calibri"/>
        <family val="2"/>
        <charset val="1"/>
      </rPr>
      <t>SKALL</t>
    </r>
    <r>
      <rPr>
        <sz val="12"/>
        <color theme="1"/>
        <rFont val="Calibri"/>
        <family val="2"/>
        <charset val="1"/>
      </rPr>
      <t xml:space="preserve"> stödja en återsändningsfunktion i de fall konsumentens URL inte är tillgänglig, eller möjliggöra att konsument gör en request som använder tidpunkt eller räknare.</t>
    </r>
  </si>
  <si>
    <t>WEB.05</t>
  </si>
  <si>
    <r>
      <rPr>
        <sz val="12"/>
        <color theme="1"/>
        <rFont val="Calibri"/>
        <family val="2"/>
        <charset val="1"/>
      </rPr>
      <t xml:space="preserve">Om Webhooks väljs att implementeras så bör följande designriktlinjer övervägas:
• En tydlig onboarding/offboarding process </t>
    </r>
    <r>
      <rPr>
        <b/>
        <sz val="12"/>
        <color theme="1"/>
        <rFont val="Calibri"/>
        <family val="2"/>
        <charset val="1"/>
      </rPr>
      <t>SKALL</t>
    </r>
    <r>
      <rPr>
        <sz val="12"/>
        <color theme="1"/>
        <rFont val="Calibri"/>
        <family val="2"/>
        <charset val="1"/>
      </rPr>
      <t xml:space="preserve"> finnas, som beskriver den process som konsumenten genomgår för att börja använda webhooks mot producenten samt hur avslut av samma sker.</t>
    </r>
  </si>
  <si>
    <t>WEB.06</t>
  </si>
  <si>
    <r>
      <rPr>
        <sz val="12"/>
        <color theme="1"/>
        <rFont val="Calibri"/>
        <family val="2"/>
        <charset val="1"/>
      </rPr>
      <t xml:space="preserve">Om Webhooks väljs att implementeras så bör följande designriktlinjer övervägas:
• Eftersom användandet av Webhooks kräver ytterligare infrastruktur hos API konsumenterna, </t>
    </r>
    <r>
      <rPr>
        <b/>
        <sz val="12"/>
        <color theme="1"/>
        <rFont val="Calibri"/>
        <family val="2"/>
        <charset val="1"/>
      </rPr>
      <t>BÖR</t>
    </r>
    <r>
      <rPr>
        <sz val="12"/>
        <color theme="1"/>
        <rFont val="Calibri"/>
        <family val="2"/>
        <charset val="1"/>
      </rPr>
      <t xml:space="preserve"> detta tas hänsyn till när lösningen designas.</t>
    </r>
  </si>
  <si>
    <t>Hypermedia</t>
  </si>
  <si>
    <t>HYP.01</t>
  </si>
  <si>
    <r>
      <rPr>
        <sz val="12"/>
        <color theme="1"/>
        <rFont val="Calibri"/>
        <family val="2"/>
        <charset val="1"/>
      </rPr>
      <t xml:space="preserve">Ett API </t>
    </r>
    <r>
      <rPr>
        <b/>
        <sz val="12"/>
        <color theme="1"/>
        <rFont val="Calibri"/>
        <family val="2"/>
        <charset val="1"/>
      </rPr>
      <t>SKALL </t>
    </r>
    <r>
      <rPr>
        <sz val="12"/>
        <color theme="1"/>
        <rFont val="Calibri"/>
        <family val="2"/>
        <charset val="1"/>
      </rPr>
      <t>ge god dokumentation som tydligt beskriver alla länkar, dess relationstyper och de svarsformat som varje URL ger.</t>
    </r>
  </si>
  <si>
    <t>Hypermedia kompatibla API:er</t>
  </si>
  <si>
    <t>HYP.02</t>
  </si>
  <si>
    <r>
      <rPr>
        <sz val="12"/>
        <color theme="1"/>
        <rFont val="Calibri"/>
        <family val="2"/>
        <charset val="1"/>
      </rPr>
      <t>En GET-förfrågan </t>
    </r>
    <r>
      <rPr>
        <b/>
        <sz val="12"/>
        <color theme="1"/>
        <rFont val="Calibri"/>
        <family val="2"/>
        <charset val="1"/>
      </rPr>
      <t>SKALL INTE</t>
    </r>
    <r>
      <rPr>
        <sz val="12"/>
        <color theme="1"/>
        <rFont val="Calibri"/>
        <family val="2"/>
        <charset val="1"/>
      </rPr>
      <t xml:space="preserve"> ändra tillstånd på den resurs som hämtas.</t>
    </r>
  </si>
  <si>
    <t>HYP.03</t>
  </si>
  <si>
    <r>
      <rPr>
        <sz val="12"/>
        <color theme="1"/>
        <rFont val="Calibri"/>
        <family val="2"/>
        <charset val="1"/>
      </rPr>
      <t>För att kunna erbjuda en bättre upplevelse för API konsumenterna, </t>
    </r>
    <r>
      <rPr>
        <b/>
        <sz val="12"/>
        <color theme="1"/>
        <rFont val="Calibri"/>
        <family val="2"/>
        <charset val="1"/>
      </rPr>
      <t>BÖR </t>
    </r>
    <r>
      <rPr>
        <sz val="12"/>
        <color theme="1"/>
        <rFont val="Calibri"/>
        <family val="2"/>
        <charset val="1"/>
      </rPr>
      <t>API:er erbjuda en lista på tillståndsförändringar som finns tillgängliga för varje resurs i  </t>
    </r>
    <r>
      <rPr>
        <i/>
        <sz val="12"/>
        <color theme="1"/>
        <rFont val="Calibri"/>
        <family val="2"/>
        <charset val="1"/>
      </rPr>
      <t>_links </t>
    </r>
    <r>
      <rPr>
        <sz val="12"/>
        <color theme="1"/>
        <rFont val="Calibri"/>
        <family val="2"/>
        <charset val="1"/>
      </rPr>
      <t>listan.</t>
    </r>
  </si>
  <si>
    <t>HYP.04</t>
  </si>
  <si>
    <r>
      <rPr>
        <sz val="12"/>
        <color theme="1"/>
        <rFont val="Calibri"/>
        <family val="2"/>
        <charset val="1"/>
      </rPr>
      <t>Ett svar </t>
    </r>
    <r>
      <rPr>
        <b/>
        <sz val="12"/>
        <color theme="1"/>
        <rFont val="Calibri"/>
        <family val="2"/>
        <charset val="1"/>
      </rPr>
      <t>BÖR </t>
    </r>
    <r>
      <rPr>
        <sz val="12"/>
        <color theme="1"/>
        <rFont val="Calibri"/>
        <family val="2"/>
        <charset val="1"/>
      </rPr>
      <t>returnera relaterade och giltiga länkelement.</t>
    </r>
  </si>
  <si>
    <t>HYP.05</t>
  </si>
  <si>
    <r>
      <rPr>
        <sz val="12"/>
        <color theme="1"/>
        <rFont val="Calibri"/>
        <family val="2"/>
        <charset val="1"/>
      </rPr>
      <t xml:space="preserve">Ett svar </t>
    </r>
    <r>
      <rPr>
        <b/>
        <sz val="12"/>
        <color theme="1"/>
        <rFont val="Calibri"/>
        <family val="2"/>
        <charset val="1"/>
      </rPr>
      <t>SKALL</t>
    </r>
    <r>
      <rPr>
        <sz val="12"/>
        <color theme="1"/>
        <rFont val="Calibri"/>
        <family val="2"/>
        <charset val="1"/>
      </rPr>
      <t xml:space="preserve"> också returnera ett länkelement till sig själv, </t>
    </r>
    <r>
      <rPr>
        <i/>
        <sz val="12"/>
        <color theme="1"/>
        <rFont val="Calibri"/>
        <family val="2"/>
        <charset val="1"/>
      </rPr>
      <t>self.</t>
    </r>
  </si>
  <si>
    <t>Hypermedia response</t>
  </si>
  <si>
    <t>HYP.06</t>
  </si>
  <si>
    <r>
      <rPr>
        <sz val="12"/>
        <color theme="1"/>
        <rFont val="Calibri"/>
        <family val="2"/>
        <charset val="1"/>
      </rPr>
      <t xml:space="preserve">Existerande standarder, såsom </t>
    </r>
    <r>
      <rPr>
        <i/>
        <sz val="12"/>
        <color theme="1"/>
        <rFont val="Calibri"/>
        <family val="2"/>
        <charset val="1"/>
      </rPr>
      <t>JSON</t>
    </r>
    <r>
      <rPr>
        <sz val="12"/>
        <color theme="1"/>
        <rFont val="Calibri"/>
        <family val="2"/>
        <charset val="1"/>
      </rPr>
      <t xml:space="preserve">, </t>
    </r>
    <r>
      <rPr>
        <i/>
        <sz val="12"/>
        <color theme="1"/>
        <rFont val="Calibri"/>
        <family val="2"/>
        <charset val="1"/>
      </rPr>
      <t>ATOM</t>
    </r>
    <r>
      <rPr>
        <sz val="12"/>
        <color theme="1"/>
        <rFont val="Calibri"/>
        <family val="2"/>
        <charset val="1"/>
      </rPr>
      <t xml:space="preserve">, </t>
    </r>
    <r>
      <rPr>
        <i/>
        <sz val="12"/>
        <color theme="1"/>
        <rFont val="Calibri"/>
        <family val="2"/>
        <charset val="1"/>
      </rPr>
      <t>Collection-JSON</t>
    </r>
    <r>
      <rPr>
        <sz val="12"/>
        <color theme="1"/>
        <rFont val="Calibri"/>
        <family val="2"/>
        <charset val="1"/>
      </rPr>
      <t xml:space="preserve">, </t>
    </r>
    <r>
      <rPr>
        <i/>
        <sz val="12"/>
        <color theme="1"/>
        <rFont val="Calibri"/>
        <family val="2"/>
        <charset val="1"/>
      </rPr>
      <t xml:space="preserve">HAL </t>
    </r>
    <r>
      <rPr>
        <sz val="12"/>
        <color theme="1"/>
        <rFont val="Calibri"/>
        <family val="2"/>
        <charset val="1"/>
      </rPr>
      <t>m.fl. </t>
    </r>
    <r>
      <rPr>
        <b/>
        <sz val="12"/>
        <color theme="1"/>
        <rFont val="Calibri"/>
        <family val="2"/>
        <charset val="1"/>
      </rPr>
      <t>BÖR</t>
    </r>
    <r>
      <rPr>
        <sz val="12"/>
        <color theme="1"/>
        <rFont val="Calibri"/>
        <family val="2"/>
        <charset val="1"/>
      </rPr>
      <t> användas istället för egna format.</t>
    </r>
  </si>
  <si>
    <t>Relativa kontra absoluta URL:er</t>
  </si>
  <si>
    <t>HYP.07</t>
  </si>
  <si>
    <r>
      <rPr>
        <sz val="12"/>
        <color theme="1"/>
        <rFont val="Calibri"/>
        <family val="2"/>
        <charset val="1"/>
      </rPr>
      <t>Webbadresserna som genereras av API:et </t>
    </r>
    <r>
      <rPr>
        <b/>
        <sz val="12"/>
        <color theme="1"/>
        <rFont val="Calibri"/>
        <family val="2"/>
        <charset val="1"/>
      </rPr>
      <t>BÖR</t>
    </r>
    <r>
      <rPr>
        <sz val="12"/>
        <color theme="1"/>
        <rFont val="Calibri"/>
        <family val="2"/>
        <charset val="1"/>
      </rPr>
      <t xml:space="preserve"> vara absoluta webbadresser.</t>
    </r>
  </si>
  <si>
    <t>API Gateways</t>
  </si>
  <si>
    <t>HYP.08</t>
  </si>
  <si>
    <r>
      <rPr>
        <sz val="12"/>
        <color theme="1"/>
        <rFont val="Calibri"/>
        <family val="2"/>
        <charset val="1"/>
      </rPr>
      <t>Som regel </t>
    </r>
    <r>
      <rPr>
        <b/>
        <sz val="12"/>
        <color theme="1"/>
        <rFont val="Calibri"/>
        <family val="2"/>
        <charset val="1"/>
      </rPr>
      <t>SKALL</t>
    </r>
    <r>
      <rPr>
        <sz val="12"/>
        <color theme="1"/>
        <rFont val="Calibri"/>
        <family val="2"/>
        <charset val="1"/>
      </rPr>
      <t> API Management gateway skicka ytterligare en header med i anropet till backend API:et som innehåller API Gateway bas URL:en för det aktuella API:et.</t>
    </r>
  </si>
  <si>
    <t>HYP.09</t>
  </si>
  <si>
    <r>
      <rPr>
        <sz val="12"/>
        <color theme="1"/>
        <rFont val="Calibri"/>
        <family val="2"/>
        <charset val="1"/>
      </rPr>
      <t>Headern </t>
    </r>
    <r>
      <rPr>
        <b/>
        <sz val="12"/>
        <color theme="1"/>
        <rFont val="Calibri"/>
        <family val="2"/>
        <charset val="1"/>
      </rPr>
      <t>SKALL</t>
    </r>
    <r>
      <rPr>
        <sz val="12"/>
        <color theme="1"/>
        <rFont val="Calibri"/>
        <family val="2"/>
        <charset val="1"/>
      </rPr>
      <t> namnges som forwarded, enligt beskrivningen i ‎‎RFC 7239‎‎.</t>
    </r>
  </si>
  <si>
    <t>HYP.10</t>
  </si>
  <si>
    <r>
      <rPr>
        <sz val="12"/>
        <color theme="1"/>
        <rFont val="Calibri"/>
        <family val="2"/>
        <charset val="1"/>
      </rPr>
      <t xml:space="preserve">Om forward header inte finns </t>
    </r>
    <r>
      <rPr>
        <b/>
        <sz val="12"/>
        <color theme="1"/>
        <rFont val="Calibri"/>
        <family val="2"/>
        <charset val="1"/>
      </rPr>
      <t>BÖR</t>
    </r>
    <r>
      <rPr>
        <sz val="12"/>
        <color theme="1"/>
        <rFont val="Calibri"/>
        <family val="2"/>
        <charset val="1"/>
      </rPr>
      <t xml:space="preserve"> API backend använda sin egen absoluta bas URL som fallback.‎</t>
    </r>
  </si>
  <si>
    <t>Link Description Object</t>
  </si>
  <si>
    <t>HYP.11</t>
  </si>
  <si>
    <r>
      <rPr>
        <sz val="12"/>
        <color theme="1"/>
        <rFont val="Calibri"/>
        <family val="2"/>
        <charset val="1"/>
      </rPr>
      <t>Länkar </t>
    </r>
    <r>
      <rPr>
        <b/>
        <sz val="12"/>
        <color theme="1"/>
        <rFont val="Calibri"/>
        <family val="2"/>
        <charset val="1"/>
      </rPr>
      <t>SKALL</t>
    </r>
    <r>
      <rPr>
        <sz val="12"/>
        <color theme="1"/>
        <rFont val="Calibri"/>
        <family val="2"/>
        <charset val="1"/>
      </rPr>
      <t> beskrivas med ett </t>
    </r>
    <r>
      <rPr>
        <i/>
        <sz val="12"/>
        <color theme="1"/>
        <rFont val="Calibri"/>
        <family val="2"/>
        <charset val="1"/>
      </rPr>
      <t>Link Description Object</t>
    </r>
    <r>
      <rPr>
        <sz val="12"/>
        <color theme="1"/>
        <rFont val="Calibri"/>
        <family val="2"/>
        <charset val="1"/>
      </rPr>
      <t> schema. </t>
    </r>
  </si>
  <si>
    <t>HYP.12</t>
  </si>
  <si>
    <r>
      <rPr>
        <sz val="12"/>
        <color theme="1"/>
        <rFont val="Calibri"/>
        <family val="2"/>
        <charset val="1"/>
      </rPr>
      <t xml:space="preserve">Ett värde för </t>
    </r>
    <r>
      <rPr>
        <i/>
        <sz val="12"/>
        <color theme="1"/>
        <rFont val="Calibri"/>
        <family val="2"/>
        <charset val="1"/>
      </rPr>
      <t>href</t>
    </r>
    <r>
      <rPr>
        <sz val="12"/>
        <color theme="1"/>
        <rFont val="Calibri"/>
        <family val="2"/>
        <charset val="1"/>
      </rPr>
      <t xml:space="preserve"> </t>
    </r>
    <r>
      <rPr>
        <b/>
        <sz val="12"/>
        <color theme="1"/>
        <rFont val="Calibri"/>
        <family val="2"/>
        <charset val="1"/>
      </rPr>
      <t>SKALL</t>
    </r>
    <r>
      <rPr>
        <sz val="12"/>
        <color theme="1"/>
        <rFont val="Calibri"/>
        <family val="2"/>
        <charset val="1"/>
      </rPr>
      <t xml:space="preserve"> ges.</t>
    </r>
  </si>
  <si>
    <t>HYP.13</t>
  </si>
  <si>
    <r>
      <rPr>
        <sz val="12"/>
        <color theme="1"/>
        <rFont val="Calibri"/>
        <family val="2"/>
        <charset val="1"/>
      </rPr>
      <t xml:space="preserve">Värdet för </t>
    </r>
    <r>
      <rPr>
        <i/>
        <sz val="12"/>
        <color theme="1"/>
        <rFont val="Calibri"/>
        <family val="2"/>
        <charset val="1"/>
      </rPr>
      <t>href</t>
    </r>
    <r>
      <rPr>
        <sz val="12"/>
        <color theme="1"/>
        <rFont val="Calibri"/>
        <family val="2"/>
        <charset val="1"/>
      </rPr>
      <t xml:space="preserve"> </t>
    </r>
    <r>
      <rPr>
        <b/>
        <sz val="12"/>
        <color theme="1"/>
        <rFont val="Calibri"/>
        <family val="2"/>
        <charset val="1"/>
      </rPr>
      <t>SKALL</t>
    </r>
    <r>
      <rPr>
        <sz val="12"/>
        <color theme="1"/>
        <rFont val="Calibri"/>
        <family val="2"/>
        <charset val="1"/>
      </rPr>
      <t xml:space="preserve"> vara en URL som används för att bestämma målet för den relaterade resursen.</t>
    </r>
  </si>
  <si>
    <t>HYP.14</t>
  </si>
  <si>
    <r>
      <rPr>
        <sz val="12"/>
        <color theme="1"/>
        <rFont val="Calibri"/>
        <family val="2"/>
        <charset val="1"/>
      </rPr>
      <t xml:space="preserve">Används endast absoluta URL värden för </t>
    </r>
    <r>
      <rPr>
        <i/>
        <sz val="12"/>
        <color theme="1"/>
        <rFont val="Calibri"/>
        <family val="2"/>
        <charset val="1"/>
      </rPr>
      <t>href</t>
    </r>
    <r>
      <rPr>
        <sz val="12"/>
        <color theme="1"/>
        <rFont val="Calibri"/>
        <family val="2"/>
        <charset val="1"/>
      </rPr>
      <t xml:space="preserve">. Klienter kan spara URL för en länk för att använda senare. Utvecklare </t>
    </r>
    <r>
      <rPr>
        <b/>
        <sz val="12"/>
        <color theme="1"/>
        <rFont val="Calibri"/>
        <family val="2"/>
        <charset val="1"/>
      </rPr>
      <t>SKALL</t>
    </r>
    <r>
      <rPr>
        <sz val="12"/>
        <color theme="1"/>
        <rFont val="Calibri"/>
        <family val="2"/>
        <charset val="1"/>
      </rPr>
      <t xml:space="preserve"> använda värden från inkommande host headern i den absoluta URL:n.</t>
    </r>
  </si>
  <si>
    <t>HYP.15</t>
  </si>
  <si>
    <r>
      <rPr>
        <sz val="12"/>
        <color theme="1"/>
        <rFont val="Calibri"/>
        <family val="2"/>
        <charset val="1"/>
      </rPr>
      <t>Ett värde för </t>
    </r>
    <r>
      <rPr>
        <i/>
        <sz val="12"/>
        <color theme="1"/>
        <rFont val="Calibri"/>
        <family val="2"/>
        <charset val="1"/>
      </rPr>
      <t>rel</t>
    </r>
    <r>
      <rPr>
        <sz val="12"/>
        <color theme="1"/>
        <rFont val="Calibri"/>
        <family val="2"/>
        <charset val="1"/>
      </rPr>
      <t> </t>
    </r>
    <r>
      <rPr>
        <b/>
        <sz val="12"/>
        <color theme="1"/>
        <rFont val="Calibri"/>
        <family val="2"/>
        <charset val="1"/>
      </rPr>
      <t>SKALL </t>
    </r>
    <r>
      <rPr>
        <sz val="12"/>
        <color theme="1"/>
        <rFont val="Calibri"/>
        <family val="2"/>
        <charset val="1"/>
      </rPr>
      <t>anges.</t>
    </r>
  </si>
  <si>
    <t>HYP.16</t>
  </si>
  <si>
    <r>
      <rPr>
        <i/>
        <sz val="12"/>
        <color theme="1"/>
        <rFont val="Calibri"/>
        <family val="2"/>
        <charset val="1"/>
      </rPr>
      <t>method</t>
    </r>
    <r>
      <rPr>
        <sz val="12"/>
        <color theme="1"/>
        <rFont val="Calibri"/>
        <family val="2"/>
        <charset val="1"/>
      </rPr>
      <t xml:space="preserve"> identifierar HTTP verbet som </t>
    </r>
    <r>
      <rPr>
        <b/>
        <sz val="12"/>
        <color theme="1"/>
        <rFont val="Calibri"/>
        <family val="2"/>
        <charset val="1"/>
      </rPr>
      <t>SKALL</t>
    </r>
    <r>
      <rPr>
        <sz val="12"/>
        <color theme="1"/>
        <rFont val="Calibri"/>
        <family val="2"/>
        <charset val="1"/>
      </rPr>
      <t xml:space="preserve"> användas i förfrågan i länken.</t>
    </r>
  </si>
  <si>
    <t>HYP.17</t>
  </si>
  <si>
    <r>
      <rPr>
        <sz val="12"/>
        <color theme="1"/>
        <rFont val="Calibri"/>
        <family val="2"/>
        <charset val="1"/>
      </rPr>
      <t xml:space="preserve">Om ingen method anges är GET defaultmetod, men method </t>
    </r>
    <r>
      <rPr>
        <b/>
        <sz val="12"/>
        <color theme="1"/>
        <rFont val="Calibri"/>
        <family val="2"/>
        <charset val="1"/>
      </rPr>
      <t>SKALL</t>
    </r>
    <r>
      <rPr>
        <sz val="12"/>
        <color theme="1"/>
        <rFont val="Calibri"/>
        <family val="2"/>
        <charset val="1"/>
      </rPr>
      <t xml:space="preserve"> anges.</t>
    </r>
  </si>
  <si>
    <t>Link Relation Type</t>
  </si>
  <si>
    <t>HYP.18</t>
  </si>
  <si>
    <r>
      <rPr>
        <sz val="12"/>
        <color theme="1"/>
        <rFont val="Calibri"/>
        <family val="2"/>
        <charset val="1"/>
      </rPr>
      <t xml:space="preserve">Ett API </t>
    </r>
    <r>
      <rPr>
        <b/>
        <sz val="12"/>
        <color theme="1"/>
        <rFont val="Calibri"/>
        <family val="2"/>
        <charset val="1"/>
      </rPr>
      <t>SKALL</t>
    </r>
    <r>
      <rPr>
        <sz val="12"/>
        <color theme="1"/>
        <rFont val="Calibri"/>
        <family val="2"/>
        <charset val="1"/>
      </rPr>
      <t xml:space="preserve"> tilldela en meningsfull </t>
    </r>
    <r>
      <rPr>
        <i/>
        <sz val="12"/>
        <color theme="1"/>
        <rFont val="Calibri"/>
        <family val="2"/>
        <charset val="1"/>
      </rPr>
      <t>Link Relation Type</t>
    </r>
    <r>
      <rPr>
        <sz val="12"/>
        <color theme="1"/>
        <rFont val="Calibri"/>
        <family val="2"/>
        <charset val="1"/>
      </rPr>
      <t xml:space="preserve"> som entydigt beskriver semantiken för länken.</t>
    </r>
  </si>
  <si>
    <t>HYP.19</t>
  </si>
  <si>
    <r>
      <rPr>
        <sz val="12"/>
        <color theme="1"/>
        <rFont val="Calibri"/>
        <family val="2"/>
        <charset val="1"/>
      </rPr>
      <t xml:space="preserve">När semantiken av en </t>
    </r>
    <r>
      <rPr>
        <i/>
        <sz val="12"/>
        <color theme="1"/>
        <rFont val="Calibri"/>
        <family val="2"/>
        <charset val="1"/>
      </rPr>
      <t>Link Relation Type</t>
    </r>
    <r>
      <rPr>
        <sz val="12"/>
        <color theme="1"/>
        <rFont val="Calibri"/>
        <family val="2"/>
        <charset val="1"/>
      </rPr>
      <t xml:space="preserve"> som önskas användas också återfinns i IANA's lista över standardiserade länkrelationer </t>
    </r>
    <r>
      <rPr>
        <b/>
        <sz val="12"/>
        <color theme="1"/>
        <rFont val="Calibri"/>
        <family val="2"/>
        <charset val="1"/>
      </rPr>
      <t>SKALL</t>
    </r>
    <r>
      <rPr>
        <sz val="12"/>
        <color theme="1"/>
        <rFont val="Calibri"/>
        <family val="2"/>
        <charset val="1"/>
      </rPr>
      <t xml:space="preserve"> IANA’s typ användas.</t>
    </r>
  </si>
  <si>
    <t>Filtrering, namnsättning och sökparametrar</t>
  </si>
  <si>
    <t>Namnsättningskonvention för sökparametrar</t>
  </si>
  <si>
    <t>FNS.01</t>
  </si>
  <si>
    <r>
      <rPr>
        <sz val="12"/>
        <color theme="1"/>
        <rFont val="Calibri"/>
        <family val="2"/>
        <charset val="1"/>
      </rPr>
      <t xml:space="preserve">Parameternamn </t>
    </r>
    <r>
      <rPr>
        <b/>
        <sz val="12"/>
        <color theme="1"/>
        <rFont val="Calibri"/>
        <family val="2"/>
        <charset val="1"/>
      </rPr>
      <t>SKALL</t>
    </r>
    <r>
      <rPr>
        <sz val="12"/>
        <color theme="1"/>
        <rFont val="Calibri"/>
        <family val="2"/>
        <charset val="1"/>
      </rPr>
      <t xml:space="preserve"> anges med en konsekvent namnkonvention inom ett API, exempelvis antingen </t>
    </r>
    <r>
      <rPr>
        <i/>
        <sz val="12"/>
        <color theme="1"/>
        <rFont val="Calibri"/>
        <family val="2"/>
        <charset val="1"/>
      </rPr>
      <t>snake_case</t>
    </r>
    <r>
      <rPr>
        <sz val="12"/>
        <color theme="1"/>
        <rFont val="Calibri"/>
        <family val="2"/>
        <charset val="1"/>
      </rPr>
      <t xml:space="preserve"> eller </t>
    </r>
    <r>
      <rPr>
        <i/>
        <sz val="12"/>
        <color theme="1"/>
        <rFont val="Calibri"/>
        <family val="2"/>
        <charset val="1"/>
      </rPr>
      <t>camelCase.</t>
    </r>
  </si>
  <si>
    <t>FNS.02</t>
  </si>
  <si>
    <r>
      <rPr>
        <sz val="12"/>
        <color theme="1"/>
        <rFont val="Calibri"/>
        <family val="2"/>
        <charset val="1"/>
      </rPr>
      <t>Sökparametrars värden</t>
    </r>
    <r>
      <rPr>
        <b/>
        <sz val="12"/>
        <color theme="1"/>
        <rFont val="Calibri"/>
        <family val="2"/>
        <charset val="1"/>
      </rPr>
      <t> SKALL</t>
    </r>
    <r>
      <rPr>
        <sz val="12"/>
        <color theme="1"/>
        <rFont val="Calibri"/>
        <family val="2"/>
        <charset val="1"/>
      </rPr>
      <t> vara percent-endcoded (RFC 3986) på UTF-8 format.</t>
    </r>
  </si>
  <si>
    <t>FNS.03</t>
  </si>
  <si>
    <r>
      <rPr>
        <sz val="12"/>
        <color theme="1"/>
        <rFont val="Calibri"/>
        <family val="2"/>
        <charset val="1"/>
      </rPr>
      <t>Sökparametrar </t>
    </r>
    <r>
      <rPr>
        <b/>
        <sz val="12"/>
        <color theme="1"/>
        <rFont val="Calibri"/>
        <family val="2"/>
        <charset val="1"/>
      </rPr>
      <t>SKALL </t>
    </r>
    <r>
      <rPr>
        <sz val="12"/>
        <color theme="1"/>
        <rFont val="Calibri"/>
        <family val="2"/>
        <charset val="1"/>
      </rPr>
      <t>starta med en bokstav.</t>
    </r>
  </si>
  <si>
    <t>FNS.05</t>
  </si>
  <si>
    <r>
      <rPr>
        <sz val="12"/>
        <color theme="1"/>
        <rFont val="Calibri"/>
        <family val="2"/>
        <charset val="1"/>
      </rPr>
      <t>Sökparametrar </t>
    </r>
    <r>
      <rPr>
        <b/>
        <sz val="12"/>
        <color theme="1"/>
        <rFont val="Calibri"/>
        <family val="2"/>
        <charset val="1"/>
      </rPr>
      <t>BÖR </t>
    </r>
    <r>
      <rPr>
        <sz val="12"/>
        <color theme="1"/>
        <rFont val="Calibri"/>
        <family val="2"/>
        <charset val="1"/>
      </rPr>
      <t>vara frivilliga.</t>
    </r>
  </si>
  <si>
    <t>FNS.06</t>
  </si>
  <si>
    <r>
      <rPr>
        <sz val="12"/>
        <color theme="1"/>
        <rFont val="Calibri"/>
        <family val="2"/>
        <charset val="1"/>
      </rPr>
      <t>Sökparametrar </t>
    </r>
    <r>
      <rPr>
        <b/>
        <sz val="12"/>
        <color theme="1"/>
        <rFont val="Calibri"/>
        <family val="2"/>
        <charset val="1"/>
      </rPr>
      <t>BÖR</t>
    </r>
    <r>
      <rPr>
        <sz val="12"/>
        <color theme="1"/>
        <rFont val="Calibri"/>
        <family val="2"/>
        <charset val="1"/>
      </rPr>
      <t> använda tecken som är URL-säkra (tecknen A-Z, a-z, 0-9, "-", ".", "_" samt "~", se vidare i RFC 3986).</t>
    </r>
  </si>
  <si>
    <t>Paginering</t>
  </si>
  <si>
    <t>FNS.07</t>
  </si>
  <si>
    <r>
      <rPr>
        <sz val="12"/>
        <color theme="1"/>
        <rFont val="Calibri"/>
        <family val="2"/>
        <charset val="1"/>
      </rPr>
      <t xml:space="preserve">Vid användande av paginering, </t>
    </r>
    <r>
      <rPr>
        <b/>
        <sz val="12"/>
        <color theme="1"/>
        <rFont val="Calibri"/>
        <family val="2"/>
        <charset val="1"/>
      </rPr>
      <t>SKALL</t>
    </r>
    <r>
      <rPr>
        <sz val="12"/>
        <color theme="1"/>
        <rFont val="Calibri"/>
        <family val="2"/>
        <charset val="1"/>
      </rPr>
      <t xml:space="preserve"> följande parametrar ingå i request:
• </t>
    </r>
    <r>
      <rPr>
        <i/>
        <sz val="12"/>
        <color theme="1"/>
        <rFont val="Calibri"/>
        <family val="2"/>
        <charset val="1"/>
      </rPr>
      <t>page</t>
    </r>
    <r>
      <rPr>
        <sz val="12"/>
        <color theme="1"/>
        <rFont val="Calibri"/>
        <family val="2"/>
        <charset val="1"/>
      </rPr>
      <t xml:space="preserve"> eller </t>
    </r>
    <r>
      <rPr>
        <i/>
        <sz val="12"/>
        <color theme="1"/>
        <rFont val="Calibri"/>
        <family val="2"/>
        <charset val="1"/>
      </rPr>
      <t xml:space="preserve">offset
</t>
    </r>
    <r>
      <rPr>
        <sz val="12"/>
        <color theme="1"/>
        <rFont val="Calibri"/>
        <family val="2"/>
        <charset val="1"/>
      </rPr>
      <t xml:space="preserve">• </t>
    </r>
    <r>
      <rPr>
        <i/>
        <sz val="12"/>
        <color theme="1"/>
        <rFont val="Calibri"/>
        <family val="2"/>
        <charset val="1"/>
      </rPr>
      <t>limit</t>
    </r>
  </si>
  <si>
    <t>FNS.08</t>
  </si>
  <si>
    <r>
      <rPr>
        <i/>
        <sz val="12"/>
        <color theme="1"/>
        <rFont val="Calibri"/>
        <family val="2"/>
        <charset val="1"/>
      </rPr>
      <t>page</t>
    </r>
    <r>
      <rPr>
        <sz val="12"/>
        <color theme="1"/>
        <rFont val="Calibri"/>
        <family val="2"/>
        <charset val="1"/>
      </rPr>
      <t xml:space="preserve"> </t>
    </r>
    <r>
      <rPr>
        <b/>
        <sz val="12"/>
        <color theme="1"/>
        <rFont val="Calibri"/>
        <family val="2"/>
        <charset val="1"/>
      </rPr>
      <t>SKALL</t>
    </r>
    <r>
      <rPr>
        <sz val="12"/>
        <color theme="1"/>
        <rFont val="Calibri"/>
        <family val="2"/>
        <charset val="1"/>
      </rPr>
      <t xml:space="preserve"> alltid starta med värde '1'.</t>
    </r>
  </si>
  <si>
    <t>FNS.09</t>
  </si>
  <si>
    <r>
      <rPr>
        <sz val="12"/>
        <color theme="1"/>
        <rFont val="Calibri"/>
        <family val="2"/>
        <charset val="1"/>
      </rPr>
      <t xml:space="preserve">Defaultvärde för </t>
    </r>
    <r>
      <rPr>
        <i/>
        <sz val="12"/>
        <color theme="1"/>
        <rFont val="Calibri"/>
        <family val="2"/>
        <charset val="1"/>
      </rPr>
      <t>limit</t>
    </r>
    <r>
      <rPr>
        <sz val="12"/>
        <color theme="1"/>
        <rFont val="Calibri"/>
        <family val="2"/>
        <charset val="1"/>
      </rPr>
      <t xml:space="preserve"> </t>
    </r>
    <r>
      <rPr>
        <b/>
        <sz val="12"/>
        <color theme="1"/>
        <rFont val="Calibri"/>
        <family val="2"/>
        <charset val="1"/>
      </rPr>
      <t>BÖR</t>
    </r>
    <r>
      <rPr>
        <sz val="12"/>
        <color theme="1"/>
        <rFont val="Calibri"/>
        <family val="2"/>
        <charset val="1"/>
      </rPr>
      <t xml:space="preserve"> vara '20'.</t>
    </r>
  </si>
  <si>
    <t>FNS.10</t>
  </si>
  <si>
    <r>
      <rPr>
        <sz val="12"/>
        <color theme="1"/>
        <rFont val="Calibri"/>
        <family val="2"/>
        <charset val="1"/>
      </rPr>
      <t>När paginering implementeras, </t>
    </r>
    <r>
      <rPr>
        <b/>
        <sz val="12"/>
        <color theme="1"/>
        <rFont val="Calibri"/>
        <family val="2"/>
        <charset val="1"/>
      </rPr>
      <t>BÖR</t>
    </r>
    <r>
      <rPr>
        <sz val="12"/>
        <color theme="1"/>
        <rFont val="Calibri"/>
        <family val="2"/>
        <charset val="1"/>
      </rPr>
      <t> man inkludera fält för </t>
    </r>
    <r>
      <rPr>
        <i/>
        <sz val="12"/>
        <color theme="1"/>
        <rFont val="Calibri"/>
        <family val="2"/>
        <charset val="1"/>
      </rPr>
      <t>_meta</t>
    </r>
    <r>
      <rPr>
        <sz val="12"/>
        <color theme="1"/>
        <rFont val="Calibri"/>
        <family val="2"/>
        <charset val="1"/>
      </rPr>
      <t> och </t>
    </r>
    <r>
      <rPr>
        <i/>
        <sz val="12"/>
        <color theme="1"/>
        <rFont val="Calibri"/>
        <family val="2"/>
        <charset val="1"/>
      </rPr>
      <t>_links </t>
    </r>
    <r>
      <rPr>
        <sz val="12"/>
        <color theme="1"/>
        <rFont val="Calibri"/>
        <family val="2"/>
        <charset val="1"/>
      </rPr>
      <t>för att förse konsumenten med information om resultatet, och erbjuda enkel navigation i träffbilden. </t>
    </r>
  </si>
  <si>
    <t>FNS.11</t>
  </si>
  <si>
    <r>
      <rPr>
        <i/>
        <sz val="12"/>
        <color theme="1"/>
        <rFont val="Calibri"/>
        <family val="2"/>
        <charset val="1"/>
      </rPr>
      <t>_links</t>
    </r>
    <r>
      <rPr>
        <sz val="12"/>
        <color theme="1"/>
        <rFont val="Calibri"/>
        <family val="2"/>
        <charset val="1"/>
      </rPr>
      <t> fältet </t>
    </r>
    <r>
      <rPr>
        <b/>
        <sz val="12"/>
        <color theme="1"/>
        <rFont val="Calibri"/>
        <family val="2"/>
        <charset val="1"/>
      </rPr>
      <t>BÖR</t>
    </r>
    <r>
      <rPr>
        <sz val="12"/>
        <color theme="1"/>
        <rFont val="Calibri"/>
        <family val="2"/>
        <charset val="1"/>
      </rPr>
      <t> inkludera länkar for </t>
    </r>
    <r>
      <rPr>
        <i/>
        <sz val="12"/>
        <color theme="1"/>
        <rFont val="Calibri"/>
        <family val="2"/>
        <charset val="1"/>
      </rPr>
      <t>self</t>
    </r>
    <r>
      <rPr>
        <sz val="12"/>
        <color theme="1"/>
        <rFont val="Calibri"/>
        <family val="2"/>
        <charset val="1"/>
      </rPr>
      <t>, </t>
    </r>
    <r>
      <rPr>
        <i/>
        <sz val="12"/>
        <color theme="1"/>
        <rFont val="Calibri"/>
        <family val="2"/>
        <charset val="1"/>
      </rPr>
      <t>first</t>
    </r>
    <r>
      <rPr>
        <sz val="12"/>
        <color theme="1"/>
        <rFont val="Calibri"/>
        <family val="2"/>
        <charset val="1"/>
      </rPr>
      <t>, </t>
    </r>
    <r>
      <rPr>
        <i/>
        <sz val="12"/>
        <color theme="1"/>
        <rFont val="Calibri"/>
        <family val="2"/>
        <charset val="1"/>
      </rPr>
      <t>last</t>
    </r>
    <r>
      <rPr>
        <sz val="12"/>
        <color theme="1"/>
        <rFont val="Calibri"/>
        <family val="2"/>
        <charset val="1"/>
      </rPr>
      <t>, </t>
    </r>
    <r>
      <rPr>
        <i/>
        <sz val="12"/>
        <color theme="1"/>
        <rFont val="Calibri"/>
        <family val="2"/>
        <charset val="1"/>
      </rPr>
      <t>next</t>
    </r>
    <r>
      <rPr>
        <sz val="12"/>
        <color theme="1"/>
        <rFont val="Calibri"/>
        <family val="2"/>
        <charset val="1"/>
      </rPr>
      <t> och </t>
    </r>
    <r>
      <rPr>
        <i/>
        <sz val="12"/>
        <color theme="1"/>
        <rFont val="Calibri"/>
        <family val="2"/>
        <charset val="1"/>
      </rPr>
      <t>prev</t>
    </r>
    <r>
      <rPr>
        <sz val="12"/>
        <color theme="1"/>
        <rFont val="Calibri"/>
        <family val="2"/>
        <charset val="1"/>
      </rPr>
      <t>.</t>
    </r>
  </si>
  <si>
    <t>FNS.12</t>
  </si>
  <si>
    <r>
      <rPr>
        <sz val="12"/>
        <color theme="1"/>
        <rFont val="Calibri"/>
        <family val="2"/>
        <charset val="1"/>
      </rPr>
      <t>Varje länk </t>
    </r>
    <r>
      <rPr>
        <b/>
        <sz val="12"/>
        <color theme="1"/>
        <rFont val="Calibri"/>
        <family val="2"/>
        <charset val="1"/>
      </rPr>
      <t>SKALL</t>
    </r>
    <r>
      <rPr>
        <sz val="12"/>
        <color theme="1"/>
        <rFont val="Calibri"/>
        <family val="2"/>
        <charset val="1"/>
      </rPr>
      <t> inkludera alla eventuellt övriga frågeparametrar som skickades i första request.</t>
    </r>
  </si>
  <si>
    <t>FNS.13</t>
  </si>
  <si>
    <r>
      <rPr>
        <sz val="12"/>
        <color theme="1"/>
        <rFont val="Calibri"/>
        <family val="2"/>
        <charset val="1"/>
      </rPr>
      <t xml:space="preserve">Följande struktur </t>
    </r>
    <r>
      <rPr>
        <b/>
        <sz val="12"/>
        <color theme="1"/>
        <rFont val="Calibri"/>
        <family val="2"/>
        <charset val="1"/>
      </rPr>
      <t>BÖR</t>
    </r>
    <r>
      <rPr>
        <sz val="12"/>
        <color theme="1"/>
        <rFont val="Calibri"/>
        <family val="2"/>
        <charset val="1"/>
      </rPr>
      <t xml:space="preserve"> appliceras på meta objektet:
</t>
    </r>
    <r>
      <rPr>
        <i/>
        <sz val="12"/>
        <color theme="1"/>
        <rFont val="Calibri"/>
        <family val="2"/>
        <charset val="1"/>
      </rPr>
      <t>• total records
• page
• offset
• limit
• count</t>
    </r>
  </si>
  <si>
    <t>Utanför träffbilden</t>
  </si>
  <si>
    <t>FNS.14</t>
  </si>
  <si>
    <r>
      <rPr>
        <sz val="12"/>
        <color theme="1"/>
        <rFont val="Calibri"/>
        <family val="2"/>
        <charset val="1"/>
      </rPr>
      <t>Om konsumenten begär en sida som är utanför det giltiga spannet för träffbilden, tex om sidspannet går från 1 till 15 men konsumenten begär ?</t>
    </r>
    <r>
      <rPr>
        <i/>
        <sz val="12"/>
        <color theme="1"/>
        <rFont val="Calibri"/>
        <family val="2"/>
        <charset val="1"/>
      </rPr>
      <t>page</t>
    </r>
    <r>
      <rPr>
        <sz val="12"/>
        <color theme="1"/>
        <rFont val="Calibri"/>
        <family val="2"/>
        <charset val="1"/>
      </rPr>
      <t>=0 eller ?</t>
    </r>
    <r>
      <rPr>
        <i/>
        <sz val="12"/>
        <color theme="1"/>
        <rFont val="Calibri"/>
        <family val="2"/>
        <charset val="1"/>
      </rPr>
      <t>page</t>
    </r>
    <r>
      <rPr>
        <sz val="12"/>
        <color theme="1"/>
        <rFont val="Calibri"/>
        <family val="2"/>
        <charset val="1"/>
      </rPr>
      <t>=99, </t>
    </r>
    <r>
      <rPr>
        <b/>
        <sz val="12"/>
        <color theme="1"/>
        <rFont val="Calibri"/>
        <family val="2"/>
        <charset val="1"/>
      </rPr>
      <t>BÖR</t>
    </r>
    <r>
      <rPr>
        <sz val="12"/>
        <color theme="1"/>
        <rFont val="Calibri"/>
        <family val="2"/>
        <charset val="1"/>
      </rPr>
      <t> svaret innehålla en tom träffbild med HTTP statuskod 200.</t>
    </r>
  </si>
  <si>
    <t>Cachning</t>
  </si>
  <si>
    <t>CAC.01</t>
  </si>
  <si>
    <r>
      <rPr>
        <sz val="12"/>
        <color theme="1"/>
        <rFont val="Calibri"/>
        <family val="2"/>
        <charset val="1"/>
      </rPr>
      <t>GET-request </t>
    </r>
    <r>
      <rPr>
        <b/>
        <sz val="12"/>
        <color theme="1"/>
        <rFont val="Calibri"/>
        <family val="2"/>
        <charset val="1"/>
      </rPr>
      <t>BÖR</t>
    </r>
    <r>
      <rPr>
        <sz val="12"/>
        <color theme="1"/>
        <rFont val="Calibri"/>
        <family val="2"/>
        <charset val="1"/>
      </rPr>
      <t> kunna cachelagras som standard.</t>
    </r>
  </si>
  <si>
    <r>
      <t xml:space="preserve">Samtliga SKALL och BÖR krav som finns definierade i REST API profilen på Diggs Utvecklarportal finns sammanställd i fliken </t>
    </r>
    <r>
      <rPr>
        <i/>
        <sz val="11"/>
        <color theme="1"/>
        <rFont val="Calibri"/>
        <family val="2"/>
        <charset val="1"/>
      </rPr>
      <t xml:space="preserve">Kravlista REST API profil.
</t>
    </r>
    <r>
      <rPr>
        <sz val="11"/>
        <color theme="1"/>
        <rFont val="Calibri"/>
        <family val="2"/>
        <charset val="1"/>
      </rPr>
      <t xml:space="preserve">Detta dokument avser underlätta avstämning av ett enskilt API gentemot profilen.
Förutom kraven så finns kravets respektive område länkat till profilen, dess typning och status samt möjlighet att lägga kommentar per krav.
</t>
    </r>
    <r>
      <rPr>
        <b/>
        <sz val="11"/>
        <color theme="1"/>
        <rFont val="Calibri"/>
        <family val="2"/>
        <charset val="1"/>
      </rPr>
      <t xml:space="preserve">Förklaring av status:
</t>
    </r>
    <r>
      <rPr>
        <sz val="11"/>
        <color theme="1"/>
        <rFont val="Calibri"/>
        <family val="2"/>
        <charset val="1"/>
      </rPr>
      <t>- = Krav ej bedömt
OK = Krav bedömt och hanterat för att möta kravet
Pågående = Krav bedömt och hantering påbörjat men ej klart
NOK = Krav bedömt men API möter inte kravet
N/A = Krav bedömt men inte applicerbart på API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</si>
</sst>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numFmts>
  <fonts count="17" x14ac:knownFonts="1">
    <font>
      <sz val="11"/>
      <color theme="1"/>
      <name val="Calibri"/>
      <family val="2"/>
      <charset val="1"/>
    </font>
    <font>
      <b/>
      <sz val="12"/>
      <color theme="1"/>
      <name val="Calibri"/>
      <family val="2"/>
      <charset val="1"/>
    </font>
    <font>
      <b/>
      <sz val="11"/>
      <color theme="1"/>
      <name val="Calibri"/>
      <family val="2"/>
      <charset val="1"/>
    </font>
    <font>
      <i/>
      <sz val="11"/>
      <color theme="1"/>
      <name val="Calibri"/>
      <family val="2"/>
      <charset val="1"/>
    </font>
    <font>
      <b/>
      <u/>
      <sz val="11"/>
      <color theme="1"/>
      <name val="Calibri"/>
      <family val="2"/>
      <charset val="1"/>
    </font>
    <font>
      <sz val="11"/>
      <color rgb="FF006100"/>
      <name val="Calibri"/>
      <family val="2"/>
      <charset val="1"/>
    </font>
    <font>
      <sz val="11"/>
      <color rgb="FF9C6500"/>
      <name val="Calibri"/>
      <family val="2"/>
      <charset val="1"/>
    </font>
    <font>
      <sz val="11"/>
      <color rgb="FF9C0006"/>
      <name val="Calibri"/>
      <family val="2"/>
      <charset val="1"/>
    </font>
    <font>
      <sz val="11"/>
      <color theme="4" tint="-0.499984740745262"/>
      <name val="Calibri"/>
      <family val="2"/>
      <charset val="1"/>
    </font>
    <font>
      <sz val="12"/>
      <color theme="4" tint="-0.249977111117893"/>
      <name val="Calibri"/>
      <family val="2"/>
      <charset val="1"/>
    </font>
    <font>
      <sz val="12"/>
      <color theme="1"/>
      <name val="Calibri"/>
      <family val="2"/>
      <charset val="1"/>
    </font>
    <font>
      <u/>
      <sz val="12"/>
      <color theme="4" tint="-0.249977111117893"/>
      <name val="Calibri"/>
      <family val="2"/>
      <charset val="1"/>
    </font>
    <font>
      <u/>
      <sz val="11"/>
      <color theme="10"/>
      <name val="Calibri"/>
      <family val="2"/>
      <charset val="1"/>
    </font>
    <font>
      <i/>
      <sz val="12"/>
      <color theme="1"/>
      <name val="Calibri"/>
      <family val="2"/>
      <charset val="1"/>
    </font>
    <font>
      <u/>
      <sz val="12"/>
      <color theme="10"/>
      <name val="Calibri"/>
      <family val="2"/>
      <charset val="1"/>
    </font>
    <font>
      <b/>
      <i/>
      <sz val="12"/>
      <color theme="1"/>
      <name val="Calibri"/>
      <family val="2"/>
      <charset val="1"/>
    </font>
    <font>
      <sz val="11"/>
      <color theme="1"/>
      <name val="Calibri"/>
      <family val="2"/>
      <charset val="1"/>
    </font>
  </fonts>
  <fills count="11">
    <fill>
      <patternFill patternType="none"/>
    </fill>
    <fill>
      <patternFill patternType="gray125"/>
    </fill>
    <fill>
      <patternFill patternType="solid">
        <fgColor rgb="FFFFFFCC"/>
        <bgColor rgb="FFFFFFFF"/>
      </patternFill>
    </fill>
    <fill>
      <patternFill patternType="solid">
        <fgColor rgb="FFC6EFCE"/>
        <bgColor rgb="FFDEEBF7"/>
      </patternFill>
    </fill>
    <fill>
      <patternFill patternType="solid">
        <fgColor rgb="FFFFEB9C"/>
        <bgColor rgb="FFFFFFCC"/>
      </patternFill>
    </fill>
    <fill>
      <patternFill patternType="solid">
        <fgColor rgb="FFFFC7CE"/>
        <bgColor rgb="FFD9D9D9"/>
      </patternFill>
    </fill>
    <fill>
      <patternFill patternType="solid">
        <fgColor theme="0"/>
        <bgColor rgb="FFF2F2F2"/>
      </patternFill>
    </fill>
    <fill>
      <patternFill patternType="solid">
        <fgColor theme="0" tint="-0.249977111117893"/>
        <bgColor rgb="FFB2B2B2"/>
      </patternFill>
    </fill>
    <fill>
      <patternFill patternType="solid">
        <fgColor theme="0" tint="-0.14999847407452621"/>
        <bgColor rgb="FFDEEBF7"/>
      </patternFill>
    </fill>
    <fill>
      <patternFill patternType="solid">
        <fgColor theme="4" tint="0.79989013336588644"/>
        <bgColor rgb="FFF2F2F2"/>
      </patternFill>
    </fill>
    <fill>
      <patternFill patternType="solid">
        <fgColor theme="0" tint="-4.9989318521683403E-2"/>
        <bgColor rgb="FFDEEBF7"/>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right/>
      <top style="thin">
        <color auto="1"/>
      </top>
      <bottom/>
      <diagonal/>
    </border>
    <border>
      <left style="thin">
        <color rgb="FFB2B2B2"/>
      </left>
      <right style="thin">
        <color rgb="FFB2B2B2"/>
      </right>
      <top style="thin">
        <color auto="1"/>
      </top>
      <bottom style="thin">
        <color rgb="FFB2B2B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right style="thin">
        <color auto="1"/>
      </right>
      <top/>
      <bottom/>
      <diagonal/>
    </border>
    <border>
      <left/>
      <right style="thin">
        <color auto="1"/>
      </right>
      <top/>
      <bottom style="medium">
        <color auto="1"/>
      </bottom>
      <diagonal/>
    </border>
    <border>
      <left/>
      <right style="thin">
        <color auto="1"/>
      </right>
      <top style="thin">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style="thin">
        <color auto="1"/>
      </left>
      <right/>
      <top style="thin">
        <color auto="1"/>
      </top>
      <bottom style="medium">
        <color auto="1"/>
      </bottom>
      <diagonal/>
    </border>
  </borders>
  <cellStyleXfs count="7">
    <xf numFmtId="0" fontId="0" fillId="0" borderId="0"/>
    <xf numFmtId="164" fontId="16" fillId="0" borderId="0" applyBorder="0" applyProtection="0"/>
    <xf numFmtId="0" fontId="12" fillId="0" borderId="0" applyBorder="0" applyProtection="0"/>
    <xf numFmtId="0" fontId="16" fillId="2" borderId="1" applyProtection="0"/>
    <xf numFmtId="0" fontId="5" fillId="3" borderId="0" applyBorder="0" applyProtection="0"/>
    <xf numFmtId="0" fontId="6" fillId="4" borderId="0" applyBorder="0" applyProtection="0"/>
    <xf numFmtId="0" fontId="7" fillId="5" borderId="0" applyBorder="0" applyProtection="0"/>
  </cellStyleXfs>
  <cellXfs count="84">
    <xf numFmtId="0" fontId="0" fillId="0" borderId="0" xfId="0"/>
    <xf numFmtId="0" fontId="0" fillId="6" borderId="0" xfId="0" applyFill="1" applyBorder="1" applyAlignment="1" applyProtection="1"/>
    <xf numFmtId="0" fontId="0" fillId="6" borderId="0" xfId="0" applyFill="1" applyAlignment="1" applyProtection="1"/>
    <xf numFmtId="0" fontId="2" fillId="7" borderId="2" xfId="0" applyFont="1" applyFill="1" applyBorder="1" applyAlignment="1" applyProtection="1"/>
    <xf numFmtId="0" fontId="1" fillId="7" borderId="0" xfId="0" applyFont="1" applyFill="1" applyAlignment="1" applyProtection="1"/>
    <xf numFmtId="0" fontId="2" fillId="7" borderId="0" xfId="0" applyFont="1" applyFill="1" applyAlignment="1" applyProtection="1"/>
    <xf numFmtId="0" fontId="0" fillId="7" borderId="0" xfId="0" applyFill="1" applyAlignment="1" applyProtection="1"/>
    <xf numFmtId="0" fontId="2" fillId="8" borderId="0" xfId="0" applyFont="1" applyFill="1" applyAlignment="1" applyProtection="1"/>
    <xf numFmtId="0" fontId="0" fillId="6" borderId="5" xfId="0" applyFont="1" applyFill="1" applyBorder="1" applyAlignment="1" applyProtection="1">
      <alignment horizontal="center" vertical="center"/>
    </xf>
    <xf numFmtId="0" fontId="5" fillId="3" borderId="5" xfId="4" applyFont="1" applyBorder="1" applyAlignment="1" applyProtection="1">
      <alignment horizontal="center" vertical="center"/>
    </xf>
    <xf numFmtId="0" fontId="6" fillId="4" borderId="5" xfId="5" applyFont="1" applyBorder="1" applyAlignment="1" applyProtection="1">
      <alignment horizontal="center" vertical="center"/>
    </xf>
    <xf numFmtId="0" fontId="7" fillId="5" borderId="5" xfId="6" applyFont="1" applyBorder="1" applyAlignment="1" applyProtection="1">
      <alignment horizontal="center" vertical="center"/>
    </xf>
    <xf numFmtId="0" fontId="8" fillId="9" borderId="5" xfId="0" applyFont="1" applyFill="1" applyBorder="1" applyAlignment="1" applyProtection="1">
      <alignment horizontal="center" vertical="center"/>
    </xf>
    <xf numFmtId="0" fontId="0" fillId="6" borderId="0" xfId="0" applyFill="1" applyBorder="1" applyAlignment="1" applyProtection="1">
      <alignment horizontal="center" vertical="center"/>
    </xf>
    <xf numFmtId="0" fontId="0" fillId="6" borderId="0" xfId="0" applyFill="1" applyAlignment="1" applyProtection="1">
      <alignment horizontal="center" vertical="center"/>
    </xf>
    <xf numFmtId="0" fontId="0" fillId="6" borderId="0" xfId="0" applyFont="1" applyFill="1" applyAlignment="1" applyProtection="1">
      <alignment vertical="center"/>
    </xf>
    <xf numFmtId="164" fontId="0" fillId="6" borderId="0" xfId="1" applyFont="1" applyFill="1" applyBorder="1" applyAlignment="1" applyProtection="1">
      <alignment horizontal="center" vertical="center"/>
    </xf>
    <xf numFmtId="0" fontId="2" fillId="10" borderId="0" xfId="0" applyFont="1" applyFill="1" applyAlignment="1" applyProtection="1"/>
    <xf numFmtId="0" fontId="0" fillId="6" borderId="0" xfId="0" applyFill="1" applyBorder="1" applyAlignment="1" applyProtection="1">
      <alignment horizontal="center"/>
    </xf>
    <xf numFmtId="0" fontId="9" fillId="0" borderId="0" xfId="0" applyFont="1" applyAlignment="1" applyProtection="1">
      <alignment horizontal="left" vertical="top"/>
    </xf>
    <xf numFmtId="0" fontId="10" fillId="0" borderId="0" xfId="0" applyFont="1" applyAlignment="1" applyProtection="1">
      <alignment horizontal="left" vertical="top"/>
    </xf>
    <xf numFmtId="0" fontId="10" fillId="0" borderId="0" xfId="0" applyFont="1" applyAlignment="1" applyProtection="1">
      <alignment horizontal="center" vertical="top"/>
    </xf>
    <xf numFmtId="0" fontId="10" fillId="0" borderId="0" xfId="0" applyFont="1" applyBorder="1" applyAlignment="1" applyProtection="1">
      <alignment horizontal="left" vertical="top"/>
    </xf>
    <xf numFmtId="0" fontId="10" fillId="6" borderId="0" xfId="0" applyFont="1" applyFill="1" applyBorder="1" applyAlignment="1" applyProtection="1">
      <alignment horizontal="left" vertical="top"/>
    </xf>
    <xf numFmtId="0" fontId="10" fillId="6" borderId="0" xfId="0" applyFont="1" applyFill="1" applyAlignment="1" applyProtection="1">
      <alignment horizontal="left" vertical="top"/>
    </xf>
    <xf numFmtId="0" fontId="1" fillId="8" borderId="5" xfId="0" applyFont="1" applyFill="1" applyBorder="1" applyAlignment="1" applyProtection="1">
      <alignment horizontal="left" vertical="top"/>
    </xf>
    <xf numFmtId="0" fontId="1" fillId="8" borderId="6" xfId="0" applyFont="1" applyFill="1" applyBorder="1" applyAlignment="1" applyProtection="1">
      <alignment horizontal="left" vertical="top"/>
    </xf>
    <xf numFmtId="0" fontId="10" fillId="6" borderId="7" xfId="0" applyFont="1" applyFill="1" applyBorder="1" applyAlignment="1" applyProtection="1">
      <alignment horizontal="left" vertical="top"/>
    </xf>
    <xf numFmtId="0" fontId="10" fillId="8" borderId="0" xfId="0" applyFont="1" applyFill="1" applyAlignment="1" applyProtection="1">
      <alignment horizontal="left" vertical="top"/>
    </xf>
    <xf numFmtId="0" fontId="11" fillId="0" borderId="8" xfId="2" applyFont="1" applyBorder="1" applyAlignment="1" applyProtection="1">
      <alignment vertical="top" wrapText="1"/>
    </xf>
    <xf numFmtId="0" fontId="10" fillId="0" borderId="5" xfId="0" applyFont="1" applyBorder="1" applyAlignment="1" applyProtection="1">
      <alignment horizontal="left" vertical="top"/>
    </xf>
    <xf numFmtId="0" fontId="10" fillId="0" borderId="5" xfId="0" applyFont="1" applyBorder="1" applyAlignment="1" applyProtection="1">
      <alignment horizontal="left" vertical="top" wrapText="1"/>
    </xf>
    <xf numFmtId="0" fontId="10" fillId="0" borderId="5" xfId="0" applyFont="1" applyBorder="1" applyAlignment="1" applyProtection="1">
      <alignment horizontal="center" vertical="top" wrapText="1"/>
    </xf>
    <xf numFmtId="0" fontId="11" fillId="6" borderId="9" xfId="2" applyFont="1" applyFill="1" applyBorder="1" applyAlignment="1" applyProtection="1">
      <alignment vertical="top" wrapText="1"/>
    </xf>
    <xf numFmtId="0" fontId="10" fillId="10" borderId="6" xfId="0" applyFont="1" applyFill="1" applyBorder="1" applyAlignment="1" applyProtection="1">
      <alignment vertical="top"/>
    </xf>
    <xf numFmtId="0" fontId="10" fillId="10" borderId="10" xfId="0" applyFont="1" applyFill="1" applyBorder="1" applyAlignment="1" applyProtection="1">
      <alignment vertical="top"/>
    </xf>
    <xf numFmtId="0" fontId="10" fillId="10" borderId="11" xfId="0" applyFont="1" applyFill="1" applyBorder="1" applyAlignment="1" applyProtection="1">
      <alignment vertical="top"/>
    </xf>
    <xf numFmtId="0" fontId="11" fillId="6" borderId="12" xfId="2" applyFont="1" applyFill="1" applyBorder="1" applyAlignment="1" applyProtection="1">
      <alignment vertical="top" wrapText="1"/>
    </xf>
    <xf numFmtId="0" fontId="10" fillId="0" borderId="13" xfId="0" applyFont="1" applyBorder="1" applyAlignment="1" applyProtection="1">
      <alignment horizontal="left" vertical="top"/>
    </xf>
    <xf numFmtId="0" fontId="10" fillId="0" borderId="13" xfId="0" applyFont="1" applyBorder="1" applyAlignment="1" applyProtection="1">
      <alignment horizontal="left" vertical="top" wrapText="1"/>
    </xf>
    <xf numFmtId="0" fontId="10" fillId="0" borderId="13" xfId="0" applyFont="1" applyBorder="1" applyAlignment="1" applyProtection="1">
      <alignment horizontal="center" vertical="top" wrapText="1"/>
    </xf>
    <xf numFmtId="0" fontId="11" fillId="0" borderId="9" xfId="2" applyFont="1" applyBorder="1" applyAlignment="1" applyProtection="1">
      <alignment vertical="top" wrapText="1"/>
    </xf>
    <xf numFmtId="0" fontId="10" fillId="0" borderId="14" xfId="0" applyFont="1" applyBorder="1" applyAlignment="1" applyProtection="1">
      <alignment horizontal="left" vertical="top"/>
    </xf>
    <xf numFmtId="0" fontId="10" fillId="0" borderId="14" xfId="0" applyFont="1" applyBorder="1" applyAlignment="1" applyProtection="1">
      <alignment horizontal="left" vertical="top" wrapText="1"/>
    </xf>
    <xf numFmtId="0" fontId="10" fillId="0" borderId="14" xfId="0" applyFont="1" applyBorder="1" applyAlignment="1" applyProtection="1">
      <alignment horizontal="center" vertical="top" wrapText="1"/>
    </xf>
    <xf numFmtId="0" fontId="11" fillId="6" borderId="15" xfId="2" applyFont="1" applyFill="1" applyBorder="1" applyAlignment="1" applyProtection="1">
      <alignment vertical="top" wrapText="1"/>
    </xf>
    <xf numFmtId="0" fontId="10" fillId="0" borderId="11" xfId="0" applyFont="1" applyBorder="1" applyAlignment="1" applyProtection="1">
      <alignment horizontal="left" vertical="top"/>
    </xf>
    <xf numFmtId="0" fontId="10" fillId="0" borderId="5" xfId="2" applyFont="1" applyBorder="1" applyAlignment="1" applyProtection="1">
      <alignment horizontal="left" vertical="top" wrapText="1"/>
    </xf>
    <xf numFmtId="0" fontId="11" fillId="6" borderId="16" xfId="2" applyFont="1" applyFill="1" applyBorder="1" applyAlignment="1" applyProtection="1">
      <alignment vertical="top" wrapText="1"/>
    </xf>
    <xf numFmtId="0" fontId="10" fillId="0" borderId="17" xfId="0" applyFont="1" applyBorder="1" applyAlignment="1" applyProtection="1">
      <alignment horizontal="left" vertical="top"/>
    </xf>
    <xf numFmtId="0" fontId="10" fillId="10" borderId="18" xfId="0" applyFont="1" applyFill="1" applyBorder="1" applyAlignment="1" applyProtection="1">
      <alignment vertical="top"/>
    </xf>
    <xf numFmtId="0" fontId="10" fillId="10" borderId="2" xfId="0" applyFont="1" applyFill="1" applyBorder="1" applyAlignment="1" applyProtection="1">
      <alignment vertical="top"/>
    </xf>
    <xf numFmtId="0" fontId="10" fillId="10" borderId="19" xfId="0" applyFont="1" applyFill="1" applyBorder="1" applyAlignment="1" applyProtection="1">
      <alignment vertical="top"/>
    </xf>
    <xf numFmtId="0" fontId="0" fillId="0" borderId="0" xfId="0" applyFont="1" applyAlignment="1" applyProtection="1">
      <alignment vertical="top" wrapText="1"/>
    </xf>
    <xf numFmtId="0" fontId="10" fillId="0" borderId="19" xfId="0" applyFont="1" applyBorder="1" applyAlignment="1" applyProtection="1">
      <alignment horizontal="left" vertical="top"/>
    </xf>
    <xf numFmtId="0" fontId="10" fillId="0" borderId="5" xfId="0" applyFont="1" applyBorder="1" applyAlignment="1" applyProtection="1">
      <alignment horizontal="left" vertical="top" wrapText="1" indent="1"/>
    </xf>
    <xf numFmtId="0" fontId="11" fillId="6" borderId="20" xfId="2" applyFont="1" applyFill="1" applyBorder="1" applyAlignment="1" applyProtection="1">
      <alignment vertical="top" wrapText="1"/>
    </xf>
    <xf numFmtId="0" fontId="12" fillId="6" borderId="20" xfId="2" applyFont="1" applyFill="1" applyBorder="1" applyAlignment="1" applyProtection="1">
      <alignment vertical="top" wrapText="1"/>
    </xf>
    <xf numFmtId="0" fontId="10" fillId="10" borderId="7" xfId="0" applyFont="1" applyFill="1" applyBorder="1" applyAlignment="1" applyProtection="1">
      <alignment vertical="top"/>
    </xf>
    <xf numFmtId="0" fontId="10" fillId="10" borderId="0" xfId="0" applyFont="1" applyFill="1" applyBorder="1" applyAlignment="1" applyProtection="1">
      <alignment vertical="top"/>
    </xf>
    <xf numFmtId="0" fontId="10" fillId="10" borderId="15" xfId="0" applyFont="1" applyFill="1" applyBorder="1" applyAlignment="1" applyProtection="1">
      <alignment vertical="top"/>
    </xf>
    <xf numFmtId="0" fontId="14" fillId="6" borderId="0" xfId="2" applyFont="1" applyFill="1" applyBorder="1" applyAlignment="1" applyProtection="1">
      <alignment vertical="top" wrapText="1"/>
    </xf>
    <xf numFmtId="0" fontId="14" fillId="6" borderId="16" xfId="2" applyFont="1" applyFill="1" applyBorder="1" applyAlignment="1" applyProtection="1">
      <alignment vertical="top" wrapText="1"/>
    </xf>
    <xf numFmtId="0" fontId="10" fillId="0" borderId="12" xfId="0" applyFont="1" applyBorder="1" applyAlignment="1" applyProtection="1">
      <alignment horizontal="left" vertical="top"/>
    </xf>
    <xf numFmtId="0" fontId="10" fillId="0" borderId="12" xfId="0" applyFont="1" applyBorder="1" applyAlignment="1" applyProtection="1">
      <alignment horizontal="left" vertical="top" wrapText="1"/>
    </xf>
    <xf numFmtId="0" fontId="10" fillId="0" borderId="12" xfId="0" applyFont="1" applyBorder="1" applyAlignment="1" applyProtection="1">
      <alignment horizontal="center" vertical="top" wrapText="1"/>
    </xf>
    <xf numFmtId="0" fontId="10" fillId="0" borderId="6" xfId="0" applyFont="1" applyBorder="1" applyAlignment="1" applyProtection="1">
      <alignment horizontal="left" vertical="top" wrapText="1"/>
    </xf>
    <xf numFmtId="0" fontId="10" fillId="10" borderId="5" xfId="0" applyFont="1" applyFill="1" applyBorder="1" applyAlignment="1" applyProtection="1">
      <alignment vertical="top"/>
    </xf>
    <xf numFmtId="0" fontId="10" fillId="0" borderId="22" xfId="0" applyFont="1" applyBorder="1" applyAlignment="1" applyProtection="1">
      <alignment horizontal="left" vertical="top" wrapText="1"/>
    </xf>
    <xf numFmtId="0" fontId="11" fillId="6" borderId="0" xfId="2" applyFont="1" applyFill="1" applyBorder="1" applyAlignment="1" applyProtection="1">
      <alignment vertical="top" wrapText="1"/>
    </xf>
    <xf numFmtId="0" fontId="13" fillId="0" borderId="5" xfId="0" applyFont="1" applyBorder="1" applyAlignment="1" applyProtection="1">
      <alignment horizontal="left" vertical="top" wrapText="1"/>
    </xf>
    <xf numFmtId="0" fontId="10" fillId="0" borderId="10" xfId="0" applyFont="1" applyBorder="1" applyAlignment="1" applyProtection="1">
      <alignment horizontal="left" vertical="top"/>
    </xf>
    <xf numFmtId="0" fontId="10" fillId="0" borderId="11" xfId="0" applyFont="1" applyBorder="1" applyAlignment="1" applyProtection="1">
      <alignment horizontal="left" vertical="top" wrapText="1"/>
    </xf>
    <xf numFmtId="0" fontId="11" fillId="0" borderId="14" xfId="2" applyFont="1" applyBorder="1" applyAlignment="1" applyProtection="1">
      <alignment horizontal="left" vertical="top" wrapText="1"/>
    </xf>
    <xf numFmtId="0" fontId="10" fillId="0" borderId="18" xfId="0" applyFont="1" applyBorder="1" applyAlignment="1" applyProtection="1">
      <alignment horizontal="left" vertical="top" wrapText="1"/>
    </xf>
    <xf numFmtId="0" fontId="9" fillId="6" borderId="0" xfId="0" applyFont="1" applyFill="1" applyAlignment="1" applyProtection="1">
      <alignment horizontal="left" vertical="top"/>
    </xf>
    <xf numFmtId="0" fontId="10" fillId="6" borderId="0" xfId="0" applyFont="1" applyFill="1" applyAlignment="1" applyProtection="1">
      <alignment horizontal="center" vertical="top"/>
    </xf>
    <xf numFmtId="0" fontId="1" fillId="7" borderId="2" xfId="0" applyFont="1" applyFill="1" applyBorder="1" applyAlignment="1" applyProtection="1">
      <alignment horizontal="left"/>
    </xf>
    <xf numFmtId="0" fontId="0" fillId="6" borderId="3" xfId="0" applyFont="1" applyFill="1" applyBorder="1" applyAlignment="1" applyProtection="1">
      <alignment horizontal="left" vertical="top" wrapText="1"/>
    </xf>
    <xf numFmtId="0" fontId="0" fillId="2" borderId="4" xfId="3" applyFont="1" applyBorder="1" applyAlignment="1" applyProtection="1">
      <alignment horizontal="center" vertical="center" wrapText="1"/>
    </xf>
    <xf numFmtId="0" fontId="14" fillId="0" borderId="21" xfId="2" applyFont="1" applyBorder="1" applyAlignment="1" applyProtection="1">
      <alignment horizontal="left" vertical="top" wrapText="1"/>
    </xf>
    <xf numFmtId="0" fontId="14" fillId="0" borderId="12" xfId="2" applyFont="1" applyBorder="1" applyAlignment="1" applyProtection="1">
      <alignment horizontal="left" vertical="top" wrapText="1"/>
    </xf>
    <xf numFmtId="0" fontId="0" fillId="2" borderId="0" xfId="3" applyFont="1" applyBorder="1" applyAlignment="1" applyProtection="1">
      <alignment horizontal="center" vertical="center" wrapText="1"/>
    </xf>
    <xf numFmtId="0" fontId="0" fillId="6" borderId="0" xfId="0" applyFont="1" applyFill="1" applyBorder="1" applyAlignment="1" applyProtection="1">
      <alignment horizontal="left" vertical="top" wrapText="1"/>
    </xf>
  </cellXfs>
  <cellStyles count="7">
    <cellStyle name="Excel Built-in Bad" xfId="6" xr:uid="{00000000-0005-0000-0000-000009000000}"/>
    <cellStyle name="Excel Built-in Good" xfId="4" xr:uid="{00000000-0005-0000-0000-000007000000}"/>
    <cellStyle name="Excel Built-in Neutral" xfId="5" xr:uid="{00000000-0005-0000-0000-000008000000}"/>
    <cellStyle name="Excel Built-in Note" xfId="3" xr:uid="{00000000-0005-0000-0000-000006000000}"/>
    <cellStyle name="Hyperlänk" xfId="2" builtinId="8"/>
    <cellStyle name="Normal" xfId="0" builtinId="0"/>
    <cellStyle name="Procent" xfId="1" builtinId="5"/>
  </cellStyles>
  <dxfs count="8">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1F4E79"/>
      </font>
      <fill>
        <patternFill>
          <bgColor theme="4" tint="0.79989013336588644"/>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1F4E79"/>
      </font>
      <fill>
        <patternFill>
          <bgColor theme="4" tint="0.7998901333658864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FCC"/>
      <rgbColor rgb="FFDE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v.dataportal.se/rest-api-profil/api-request" TargetMode="External"/><Relationship Id="rId13" Type="http://schemas.openxmlformats.org/officeDocument/2006/relationships/hyperlink" Target="https://dev.dataportal.se/rest-api-profil/webhooks" TargetMode="External"/><Relationship Id="rId3" Type="http://schemas.openxmlformats.org/officeDocument/2006/relationships/hyperlink" Target="https://dev.dataportal.se/rest-api-profil/resurser" TargetMode="External"/><Relationship Id="rId7" Type="http://schemas.openxmlformats.org/officeDocument/2006/relationships/hyperlink" Target="https://dev.dataportal.se/rest-api-profil/api-message" TargetMode="External"/><Relationship Id="rId12" Type="http://schemas.openxmlformats.org/officeDocument/2006/relationships/hyperlink" Target="https://dev.dataportal.se/rest-api-profil/sparbarhet-och-korrelation" TargetMode="External"/><Relationship Id="rId2" Type="http://schemas.openxmlformats.org/officeDocument/2006/relationships/hyperlink" Target="https://dev.dataportal.se/rest-api-profil/datum-och-tidsformat" TargetMode="External"/><Relationship Id="rId16" Type="http://schemas.openxmlformats.org/officeDocument/2006/relationships/hyperlink" Target="https://dev.dataportal.se/rest-api-profil/cachning" TargetMode="External"/><Relationship Id="rId1" Type="http://schemas.openxmlformats.org/officeDocument/2006/relationships/hyperlink" Target="https://dev.dataportal.se/rest-api-profil/dokumentation" TargetMode="External"/><Relationship Id="rId6" Type="http://schemas.openxmlformats.org/officeDocument/2006/relationships/hyperlink" Target="https://dev.dataportal.se/rest-api-profil/sakerhet" TargetMode="External"/><Relationship Id="rId11" Type="http://schemas.openxmlformats.org/officeDocument/2006/relationships/hyperlink" Target="https://dev.dataportal.se/rest-api-profil/versionhantering" TargetMode="External"/><Relationship Id="rId5" Type="http://schemas.openxmlformats.org/officeDocument/2006/relationships/hyperlink" Target="https://dev.dataportal.se/rest-api-profil/mognad" TargetMode="External"/><Relationship Id="rId15" Type="http://schemas.openxmlformats.org/officeDocument/2006/relationships/hyperlink" Target="https://dev.dataportal.se/rest-api-profil/filtrering-paginering-och-sokparametrar" TargetMode="External"/><Relationship Id="rId10" Type="http://schemas.openxmlformats.org/officeDocument/2006/relationships/hyperlink" Target="https://dev.dataportal.se/rest-api-profil/felhantering" TargetMode="External"/><Relationship Id="rId4" Type="http://schemas.openxmlformats.org/officeDocument/2006/relationships/hyperlink" Target="https://dev.dataportal.se/rest-api-profil/url-format-och-namngivning" TargetMode="External"/><Relationship Id="rId9" Type="http://schemas.openxmlformats.org/officeDocument/2006/relationships/hyperlink" Target="https://dev.dataportal.se/rest-api-profil/api-response" TargetMode="External"/><Relationship Id="rId14" Type="http://schemas.openxmlformats.org/officeDocument/2006/relationships/hyperlink" Target="https://dev.dataportal.se/rest-api-profil/hyperme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9"/>
  <sheetViews>
    <sheetView tabSelected="1" topLeftCell="N1" zoomScaleNormal="100" workbookViewId="0">
      <selection activeCell="S12" sqref="S12"/>
    </sheetView>
  </sheetViews>
  <sheetFormatPr defaultColWidth="8.7109375" defaultRowHeight="15" x14ac:dyDescent="0.25"/>
  <cols>
    <col min="1" max="1" width="10.7109375" style="1" customWidth="1"/>
    <col min="2" max="13" width="10.7109375" style="2" customWidth="1"/>
    <col min="14" max="49" width="8.7109375" style="2"/>
  </cols>
  <sheetData>
    <row r="1" spans="1:24" s="3" customFormat="1" ht="21" customHeight="1" x14ac:dyDescent="0.25">
      <c r="A1" s="77" t="s">
        <v>0</v>
      </c>
      <c r="B1" s="77"/>
      <c r="C1" s="77"/>
      <c r="D1" s="77"/>
      <c r="E1" s="77"/>
      <c r="F1" s="77"/>
      <c r="G1" s="77"/>
      <c r="H1" s="77"/>
      <c r="I1" s="77"/>
      <c r="J1" s="77"/>
      <c r="K1" s="77"/>
      <c r="L1" s="77"/>
      <c r="M1" s="77"/>
      <c r="N1" s="77"/>
      <c r="O1" s="77"/>
      <c r="P1" s="77"/>
      <c r="Q1" s="77"/>
      <c r="R1" s="77"/>
      <c r="S1" s="77"/>
      <c r="T1" s="77"/>
      <c r="U1" s="77"/>
      <c r="V1" s="77"/>
      <c r="W1" s="77"/>
    </row>
    <row r="2" spans="1:24" ht="135" customHeight="1" x14ac:dyDescent="0.25">
      <c r="A2" s="78" t="s">
        <v>385</v>
      </c>
      <c r="B2" s="78"/>
      <c r="C2" s="78"/>
      <c r="D2" s="78"/>
      <c r="E2" s="78"/>
      <c r="F2" s="78"/>
      <c r="G2" s="78"/>
      <c r="H2" s="78"/>
      <c r="I2" s="78"/>
      <c r="J2" s="78"/>
      <c r="K2" s="78"/>
      <c r="L2" s="78"/>
      <c r="M2" s="78"/>
      <c r="N2" s="78"/>
      <c r="O2" s="79" t="s">
        <v>1</v>
      </c>
      <c r="P2" s="79"/>
      <c r="Q2" s="79"/>
      <c r="R2" s="79"/>
      <c r="S2" s="79"/>
      <c r="T2" s="79"/>
      <c r="U2" s="79"/>
      <c r="X2" s="1"/>
    </row>
    <row r="3" spans="1:24" x14ac:dyDescent="0.25">
      <c r="A3" s="83" t="str">
        <f>"Kraven avser version "&amp;profilversion&amp;" av REST API profilen som i juni 2026 publicerades på https://dev.dataportal.se/rest-api-profil"</f>
        <v>Kraven avser version 2.0.0 av REST API profilen som i juni 2026 publicerades på https://dev.dataportal.se/rest-api-profil</v>
      </c>
      <c r="B3" s="83"/>
      <c r="C3" s="83"/>
      <c r="D3" s="83"/>
      <c r="E3" s="83"/>
      <c r="F3" s="83"/>
      <c r="G3" s="83"/>
      <c r="H3" s="83"/>
      <c r="I3" s="83"/>
      <c r="J3" s="83"/>
      <c r="K3" s="83"/>
      <c r="L3" s="83"/>
      <c r="M3" s="83"/>
      <c r="N3" s="83"/>
      <c r="O3" s="82"/>
      <c r="P3" s="82"/>
      <c r="Q3" s="82"/>
      <c r="R3" s="82"/>
      <c r="S3" s="82"/>
      <c r="T3" s="82"/>
      <c r="U3" s="82"/>
      <c r="X3" s="1"/>
    </row>
    <row r="4" spans="1:24" s="6" customFormat="1" ht="21" customHeight="1" x14ac:dyDescent="0.25">
      <c r="A4" s="4" t="s">
        <v>2</v>
      </c>
      <c r="B4" s="5"/>
      <c r="C4" s="5"/>
      <c r="D4" s="5"/>
      <c r="E4" s="5"/>
      <c r="F4" s="5"/>
    </row>
    <row r="5" spans="1:24" s="7" customFormat="1" ht="21" customHeight="1" x14ac:dyDescent="0.25">
      <c r="A5" s="7" t="s">
        <v>3</v>
      </c>
    </row>
    <row r="6" spans="1:24" ht="21" customHeight="1" x14ac:dyDescent="0.25">
      <c r="A6" s="8" t="s">
        <v>4</v>
      </c>
      <c r="B6" s="9" t="s">
        <v>5</v>
      </c>
      <c r="C6" s="10" t="s">
        <v>6</v>
      </c>
      <c r="D6" s="11" t="s">
        <v>7</v>
      </c>
      <c r="E6" s="12" t="s">
        <v>8</v>
      </c>
    </row>
    <row r="7" spans="1:24" ht="21" customHeight="1" x14ac:dyDescent="0.25">
      <c r="A7" s="13">
        <f>COUNTIF('Kravlista REST API profil'!E2:E195,"-")</f>
        <v>156</v>
      </c>
      <c r="B7" s="14">
        <f>COUNTIF('Kravlista REST API profil'!E2:E195,"OK")</f>
        <v>0</v>
      </c>
      <c r="C7" s="14">
        <f>COUNTIF('Kravlista REST API profil'!E2:E195,"Pågående")</f>
        <v>0</v>
      </c>
      <c r="D7" s="14">
        <f>COUNTIF('Kravlista REST API profil'!E2:E195,"NOK")</f>
        <v>0</v>
      </c>
      <c r="E7" s="14">
        <f>COUNTIF('Kravlista REST API profil'!E2:E195,"N/A")</f>
        <v>0</v>
      </c>
      <c r="F7" s="15" t="s">
        <v>9</v>
      </c>
    </row>
    <row r="8" spans="1:24" ht="21" customHeight="1" x14ac:dyDescent="0.25">
      <c r="A8" s="16">
        <f>(A7/SUM(A7:E7))</f>
        <v>1</v>
      </c>
      <c r="B8" s="16">
        <f>(B7/SUM(A7:E7))</f>
        <v>0</v>
      </c>
      <c r="C8" s="16">
        <f>(C7/SUM(A7:E7))</f>
        <v>0</v>
      </c>
      <c r="D8" s="16">
        <f>(D7/SUM(A7:E7))</f>
        <v>0</v>
      </c>
      <c r="E8" s="16">
        <f>(E7/SUM(A7:E7))</f>
        <v>0</v>
      </c>
      <c r="F8" s="15" t="s">
        <v>10</v>
      </c>
    </row>
    <row r="10" spans="1:24" s="7" customFormat="1" ht="21" customHeight="1" x14ac:dyDescent="0.25">
      <c r="A10" s="7" t="s">
        <v>11</v>
      </c>
    </row>
    <row r="11" spans="1:24" s="17" customFormat="1" ht="21" customHeight="1" x14ac:dyDescent="0.25">
      <c r="A11" s="17" t="str">
        <f>('Kravlista REST API profil'!$A2)</f>
        <v>Dokumentation</v>
      </c>
      <c r="H11" s="17" t="str">
        <f>('Kravlista REST API profil'!$A27)</f>
        <v>Datum- och tidsformat</v>
      </c>
    </row>
    <row r="12" spans="1:24" ht="21" customHeight="1" x14ac:dyDescent="0.25">
      <c r="A12" s="8" t="str">
        <f>$A$6</f>
        <v>-</v>
      </c>
      <c r="B12" s="9" t="str">
        <f>$B$6</f>
        <v>OK</v>
      </c>
      <c r="C12" s="10" t="str">
        <f>$C$6</f>
        <v>Pågående</v>
      </c>
      <c r="D12" s="11" t="str">
        <f>$D$6</f>
        <v>NOK</v>
      </c>
      <c r="E12" s="12" t="str">
        <f>$E$6</f>
        <v>N/A</v>
      </c>
      <c r="H12" s="8" t="str">
        <f>$A$6</f>
        <v>-</v>
      </c>
      <c r="I12" s="9" t="str">
        <f>$B$6</f>
        <v>OK</v>
      </c>
      <c r="J12" s="10" t="str">
        <f>$C$6</f>
        <v>Pågående</v>
      </c>
      <c r="K12" s="11" t="str">
        <f>$D$6</f>
        <v>NOK</v>
      </c>
      <c r="L12" s="12" t="str">
        <f>$E$6</f>
        <v>N/A</v>
      </c>
    </row>
    <row r="13" spans="1:24" ht="21" customHeight="1" x14ac:dyDescent="0.25">
      <c r="A13" s="18">
        <f>COUNTIF('Kravlista REST API profil'!E2:E26,"-")</f>
        <v>23</v>
      </c>
      <c r="B13" s="18">
        <f>COUNTIF('Kravlista REST API profil'!E2:E26,"OK")</f>
        <v>0</v>
      </c>
      <c r="C13" s="18">
        <f>COUNTIF('Kravlista REST API profil'!E2:E26,"Pågående")</f>
        <v>0</v>
      </c>
      <c r="D13" s="18">
        <f>COUNTIF('Kravlista REST API profil'!E2:E26,"NOK")</f>
        <v>0</v>
      </c>
      <c r="E13" s="18">
        <f>COUNTIF('Kravlista REST API profil'!E2:E26,"N/A")</f>
        <v>0</v>
      </c>
      <c r="F13" s="2" t="s">
        <v>9</v>
      </c>
      <c r="H13" s="18">
        <f>COUNTIF('Kravlista REST API profil'!E27:E32,"-")</f>
        <v>4</v>
      </c>
      <c r="I13" s="18">
        <f>COUNTIF('Kravlista REST API profil'!E27:E32,"OK")</f>
        <v>0</v>
      </c>
      <c r="J13" s="18">
        <f>COUNTIF('Kravlista REST API profil'!E27:E32,"Pågående")</f>
        <v>0</v>
      </c>
      <c r="K13" s="18">
        <f>COUNTIF('Kravlista REST API profil'!E27:E32,"NOK")</f>
        <v>0</v>
      </c>
      <c r="L13" s="18">
        <f>COUNTIF('Kravlista REST API profil'!E27:E32,"N/A")</f>
        <v>0</v>
      </c>
      <c r="M13" s="2" t="s">
        <v>9</v>
      </c>
    </row>
    <row r="14" spans="1:24" ht="21" customHeight="1" x14ac:dyDescent="0.25">
      <c r="A14" s="16">
        <f>(A13/SUM(A13:E13))</f>
        <v>1</v>
      </c>
      <c r="B14" s="16">
        <f>(B13/SUM(A13:E13))</f>
        <v>0</v>
      </c>
      <c r="C14" s="16">
        <f>(C13/SUM(A13:E13))</f>
        <v>0</v>
      </c>
      <c r="D14" s="16">
        <f>(D13/SUM(A13:E13))</f>
        <v>0</v>
      </c>
      <c r="E14" s="16">
        <f>(E13/SUM(A13:E13))</f>
        <v>0</v>
      </c>
      <c r="F14" s="15" t="s">
        <v>10</v>
      </c>
      <c r="H14" s="16">
        <f>(H13/SUM(H13:L13))</f>
        <v>1</v>
      </c>
      <c r="I14" s="16">
        <f>(I13/SUM(H13:L13))</f>
        <v>0</v>
      </c>
      <c r="J14" s="16">
        <f>(J13/SUM(H13:L13))</f>
        <v>0</v>
      </c>
      <c r="K14" s="16">
        <f>(K13/SUM(H13:L13))</f>
        <v>0</v>
      </c>
      <c r="L14" s="16">
        <f>(L13/SUM(H13:L13))</f>
        <v>0</v>
      </c>
      <c r="M14" s="15" t="s">
        <v>10</v>
      </c>
    </row>
    <row r="16" spans="1:24" s="17" customFormat="1" ht="21" customHeight="1" x14ac:dyDescent="0.25">
      <c r="A16" s="17" t="str">
        <f>('Kravlista REST API profil'!$A33)</f>
        <v>Resurser</v>
      </c>
      <c r="H16" s="17" t="str">
        <f>('Kravlista REST API profil'!$A40)</f>
        <v>URL format och namngivning</v>
      </c>
    </row>
    <row r="17" spans="1:13" ht="21" customHeight="1" x14ac:dyDescent="0.25">
      <c r="A17" s="8" t="str">
        <f>$A$6</f>
        <v>-</v>
      </c>
      <c r="B17" s="9" t="str">
        <f>$B$6</f>
        <v>OK</v>
      </c>
      <c r="C17" s="10" t="str">
        <f>$C$6</f>
        <v>Pågående</v>
      </c>
      <c r="D17" s="11" t="str">
        <f>$D$6</f>
        <v>NOK</v>
      </c>
      <c r="E17" s="12" t="str">
        <f>$E$6</f>
        <v>N/A</v>
      </c>
      <c r="H17" s="8" t="str">
        <f>$A$6</f>
        <v>-</v>
      </c>
      <c r="I17" s="9" t="str">
        <f>$B$6</f>
        <v>OK</v>
      </c>
      <c r="J17" s="10" t="str">
        <f>$C$6</f>
        <v>Pågående</v>
      </c>
      <c r="K17" s="11" t="str">
        <f>$D$6</f>
        <v>NOK</v>
      </c>
      <c r="L17" s="12" t="str">
        <f>$E$6</f>
        <v>N/A</v>
      </c>
    </row>
    <row r="18" spans="1:13" ht="21" customHeight="1" x14ac:dyDescent="0.25">
      <c r="A18" s="18">
        <f>COUNTIF('Kravlista REST API profil'!E33:E39,"-")</f>
        <v>5</v>
      </c>
      <c r="B18" s="18">
        <f>COUNTIF('Kravlista REST API profil'!E33:E39,"OK")</f>
        <v>0</v>
      </c>
      <c r="C18" s="18">
        <f>COUNTIF('Kravlista REST API profil'!E33:E39,"Pågående")</f>
        <v>0</v>
      </c>
      <c r="D18" s="18">
        <f>COUNTIF('Kravlista REST API profil'!E33:E39,"NOK")</f>
        <v>0</v>
      </c>
      <c r="E18" s="18">
        <f>COUNTIF('Kravlista REST API profil'!E33:E39,"N/A")</f>
        <v>0</v>
      </c>
      <c r="F18" s="2" t="s">
        <v>9</v>
      </c>
      <c r="H18" s="18">
        <f>COUNTIF('Kravlista REST API profil'!E40:E50,"-")</f>
        <v>8</v>
      </c>
      <c r="I18" s="18">
        <f>COUNTIF('Kravlista REST API profil'!E40:E50,"OK")</f>
        <v>0</v>
      </c>
      <c r="J18" s="18">
        <f>COUNTIF('Kravlista REST API profil'!E40:E50,"Pågående")</f>
        <v>0</v>
      </c>
      <c r="K18" s="18">
        <f>COUNTIF('Kravlista REST API profil'!E40:E50,"NOK")</f>
        <v>0</v>
      </c>
      <c r="L18" s="18">
        <f>COUNTIF('Kravlista REST API profil'!E40:E50,"N/A")</f>
        <v>0</v>
      </c>
      <c r="M18" s="2" t="s">
        <v>9</v>
      </c>
    </row>
    <row r="19" spans="1:13" ht="21" customHeight="1" x14ac:dyDescent="0.25">
      <c r="A19" s="16">
        <f>(A18/SUM(A18:E18))</f>
        <v>1</v>
      </c>
      <c r="B19" s="16">
        <f>(B18/SUM(A18:E18))</f>
        <v>0</v>
      </c>
      <c r="C19" s="16">
        <f>(C18/SUM(A18:E18))</f>
        <v>0</v>
      </c>
      <c r="D19" s="16">
        <f>(D18/SUM(A18:E18))</f>
        <v>0</v>
      </c>
      <c r="E19" s="16">
        <f>(E18/SUM(A18:E18))</f>
        <v>0</v>
      </c>
      <c r="F19" s="15" t="s">
        <v>10</v>
      </c>
      <c r="H19" s="16">
        <f>(H18/SUM(H18:L18))</f>
        <v>1</v>
      </c>
      <c r="I19" s="16">
        <f>(I18/SUM(H18:L18))</f>
        <v>0</v>
      </c>
      <c r="J19" s="16">
        <f>(J18/SUM(H18:L18))</f>
        <v>0</v>
      </c>
      <c r="K19" s="16">
        <f>(K18/SUM(H18:L18))</f>
        <v>0</v>
      </c>
      <c r="L19" s="16">
        <f>(L18/SUM(H18:L18))</f>
        <v>0</v>
      </c>
      <c r="M19" s="15" t="s">
        <v>10</v>
      </c>
    </row>
    <row r="21" spans="1:13" s="17" customFormat="1" ht="21" customHeight="1" x14ac:dyDescent="0.25">
      <c r="A21" s="17" t="str">
        <f>('Kravlista REST API profil'!$A51)</f>
        <v>Mognad</v>
      </c>
      <c r="H21" s="17" t="str">
        <f>('Kravlista REST API profil'!$A54)</f>
        <v>Säkerhet</v>
      </c>
    </row>
    <row r="22" spans="1:13" ht="21" customHeight="1" x14ac:dyDescent="0.25">
      <c r="A22" s="8" t="str">
        <f>$A$6</f>
        <v>-</v>
      </c>
      <c r="B22" s="9" t="str">
        <f>$B$6</f>
        <v>OK</v>
      </c>
      <c r="C22" s="10" t="str">
        <f>$C$6</f>
        <v>Pågående</v>
      </c>
      <c r="D22" s="11" t="str">
        <f>$D$6</f>
        <v>NOK</v>
      </c>
      <c r="E22" s="12" t="str">
        <f>$E$6</f>
        <v>N/A</v>
      </c>
      <c r="H22" s="8" t="str">
        <f>$A$6</f>
        <v>-</v>
      </c>
      <c r="I22" s="9" t="str">
        <f>$B$6</f>
        <v>OK</v>
      </c>
      <c r="J22" s="10" t="str">
        <f>$C$6</f>
        <v>Pågående</v>
      </c>
      <c r="K22" s="11" t="str">
        <f>$D$6</f>
        <v>NOK</v>
      </c>
      <c r="L22" s="12" t="str">
        <f>$E$6</f>
        <v>N/A</v>
      </c>
    </row>
    <row r="23" spans="1:13" ht="21" customHeight="1" x14ac:dyDescent="0.25">
      <c r="A23" s="18">
        <f>COUNTIF('Kravlista REST API profil'!E51:E53,"-")</f>
        <v>3</v>
      </c>
      <c r="B23" s="18">
        <f>COUNTIF('Kravlista REST API profil'!E51:E53,"OK")</f>
        <v>0</v>
      </c>
      <c r="C23" s="18">
        <f>COUNTIF('Kravlista REST API profil'!E51:E53,"Pågående")</f>
        <v>0</v>
      </c>
      <c r="D23" s="18">
        <f>COUNTIF('Kravlista REST API profil'!E51:E53,"NOK")</f>
        <v>0</v>
      </c>
      <c r="E23" s="18">
        <f>COUNTIF('Kravlista REST API profil'!E51:E53,"N/A")</f>
        <v>0</v>
      </c>
      <c r="F23" s="2" t="s">
        <v>9</v>
      </c>
      <c r="H23" s="18">
        <f>COUNTIF('Kravlista REST API profil'!E54:E95,"-")</f>
        <v>33</v>
      </c>
      <c r="I23" s="18">
        <f>COUNTIF('Kravlista REST API profil'!E54:E95,"OK")</f>
        <v>0</v>
      </c>
      <c r="J23" s="18">
        <f>COUNTIF('Kravlista REST API profil'!E54:E95,"Pågående")</f>
        <v>0</v>
      </c>
      <c r="K23" s="18">
        <f>COUNTIF('Kravlista REST API profil'!E54:E95,"NOK")</f>
        <v>0</v>
      </c>
      <c r="L23" s="18">
        <f>COUNTIF('Kravlista REST API profil'!E54:E95,"N/A")</f>
        <v>0</v>
      </c>
      <c r="M23" s="2" t="s">
        <v>9</v>
      </c>
    </row>
    <row r="24" spans="1:13" ht="21" customHeight="1" x14ac:dyDescent="0.25">
      <c r="A24" s="16">
        <f>(A23/SUM(A23:E23))</f>
        <v>1</v>
      </c>
      <c r="B24" s="16">
        <f>(B23/SUM(A23:E23))</f>
        <v>0</v>
      </c>
      <c r="C24" s="16">
        <f>(C23/SUM(A23:E23))</f>
        <v>0</v>
      </c>
      <c r="D24" s="16">
        <f>(D23/SUM(A23:E23))</f>
        <v>0</v>
      </c>
      <c r="E24" s="16">
        <f>(E23/SUM(A23:E23))</f>
        <v>0</v>
      </c>
      <c r="F24" s="15" t="s">
        <v>10</v>
      </c>
      <c r="H24" s="16">
        <f>(H23/SUM(H23:L23))</f>
        <v>1</v>
      </c>
      <c r="I24" s="16">
        <f>(I23/SUM(H23:L23))</f>
        <v>0</v>
      </c>
      <c r="J24" s="16">
        <f>(J23/SUM(H23:L23))</f>
        <v>0</v>
      </c>
      <c r="K24" s="16">
        <f>(K23/SUM(H23:L23))</f>
        <v>0</v>
      </c>
      <c r="L24" s="16">
        <f>(L23/SUM(H23:L23))</f>
        <v>0</v>
      </c>
      <c r="M24" s="15" t="s">
        <v>10</v>
      </c>
    </row>
    <row r="26" spans="1:13" s="17" customFormat="1" ht="21" customHeight="1" x14ac:dyDescent="0.25">
      <c r="A26" s="17" t="str">
        <f>('Kravlista REST API profil'!$A96)</f>
        <v>API Message</v>
      </c>
      <c r="H26" s="17" t="str">
        <f>('Kravlista REST API profil'!$A104)</f>
        <v>API Request</v>
      </c>
    </row>
    <row r="27" spans="1:13" ht="21" customHeight="1" x14ac:dyDescent="0.25">
      <c r="A27" s="8" t="str">
        <f>$A$6</f>
        <v>-</v>
      </c>
      <c r="B27" s="9" t="str">
        <f>$B$6</f>
        <v>OK</v>
      </c>
      <c r="C27" s="10" t="str">
        <f>$C$6</f>
        <v>Pågående</v>
      </c>
      <c r="D27" s="11" t="str">
        <f>$D$6</f>
        <v>NOK</v>
      </c>
      <c r="E27" s="12" t="str">
        <f>$E$6</f>
        <v>N/A</v>
      </c>
      <c r="H27" s="8" t="str">
        <f>$A$6</f>
        <v>-</v>
      </c>
      <c r="I27" s="9" t="str">
        <f>$B$6</f>
        <v>OK</v>
      </c>
      <c r="J27" s="10" t="str">
        <f>$C$6</f>
        <v>Pågående</v>
      </c>
      <c r="K27" s="11" t="str">
        <f>$D$6</f>
        <v>NOK</v>
      </c>
      <c r="L27" s="12" t="str">
        <f>$E$6</f>
        <v>N/A</v>
      </c>
    </row>
    <row r="28" spans="1:13" ht="21" customHeight="1" x14ac:dyDescent="0.25">
      <c r="A28" s="18">
        <f>COUNTIF('Kravlista REST API profil'!E96:E103,"-")</f>
        <v>6</v>
      </c>
      <c r="B28" s="18">
        <f>COUNTIF('Kravlista REST API profil'!E96:E103,"OK")</f>
        <v>0</v>
      </c>
      <c r="C28" s="18">
        <f>COUNTIF('Kravlista REST API profil'!E96:E103,"Pågående")</f>
        <v>0</v>
      </c>
      <c r="D28" s="18">
        <f>COUNTIF('Kravlista REST API profil'!E96:E103,"NOK")</f>
        <v>0</v>
      </c>
      <c r="E28" s="18">
        <f>COUNTIF('Kravlista REST API profil'!E96:E103,"N/A")</f>
        <v>0</v>
      </c>
      <c r="F28" s="2" t="s">
        <v>9</v>
      </c>
      <c r="H28" s="18">
        <f>COUNTIF('Kravlista REST API profil'!E104:E110,"-")</f>
        <v>5</v>
      </c>
      <c r="I28" s="18">
        <f>COUNTIF('Kravlista REST API profil'!E104:E110,"OK")</f>
        <v>0</v>
      </c>
      <c r="J28" s="18">
        <f>COUNTIF('Kravlista REST API profil'!E104:E110,"Pågående")</f>
        <v>0</v>
      </c>
      <c r="K28" s="18">
        <f>COUNTIF('Kravlista REST API profil'!E104:E110,"NOK")</f>
        <v>0</v>
      </c>
      <c r="L28" s="18">
        <f>COUNTIF('Kravlista REST API profil'!E104:E110,"N/A")</f>
        <v>0</v>
      </c>
      <c r="M28" s="2" t="s">
        <v>9</v>
      </c>
    </row>
    <row r="29" spans="1:13" ht="21" customHeight="1" x14ac:dyDescent="0.25">
      <c r="A29" s="16">
        <f>(A28/SUM(A28:E28))</f>
        <v>1</v>
      </c>
      <c r="B29" s="16">
        <f>(B28/SUM(A28:E28))</f>
        <v>0</v>
      </c>
      <c r="C29" s="16">
        <f>(C28/SUM(A28:E28))</f>
        <v>0</v>
      </c>
      <c r="D29" s="16">
        <f>(D28/SUM(A28:E28))</f>
        <v>0</v>
      </c>
      <c r="E29" s="16">
        <f>(E28/SUM(A28:E28))</f>
        <v>0</v>
      </c>
      <c r="F29" s="15" t="s">
        <v>10</v>
      </c>
      <c r="H29" s="16">
        <f>(H28/SUM(H28:L28))</f>
        <v>1</v>
      </c>
      <c r="I29" s="16">
        <f>(I28/SUM(H28:L28))</f>
        <v>0</v>
      </c>
      <c r="J29" s="16">
        <f>(J28/SUM(H28:L28))</f>
        <v>0</v>
      </c>
      <c r="K29" s="16">
        <f>(K28/SUM(H28:L28))</f>
        <v>0</v>
      </c>
      <c r="L29" s="16">
        <f>(L28/SUM(H28:L28))</f>
        <v>0</v>
      </c>
      <c r="M29" s="15" t="s">
        <v>10</v>
      </c>
    </row>
    <row r="31" spans="1:13" s="17" customFormat="1" ht="21" customHeight="1" x14ac:dyDescent="0.25">
      <c r="A31" s="17" t="str">
        <f>('Kravlista REST API profil'!$A111)</f>
        <v>API Response</v>
      </c>
      <c r="H31" s="17" t="str">
        <f>('Kravlista REST API profil'!$A115)</f>
        <v>Felhantering</v>
      </c>
    </row>
    <row r="32" spans="1:13" ht="21" customHeight="1" x14ac:dyDescent="0.25">
      <c r="A32" s="8" t="str">
        <f>$A$6</f>
        <v>-</v>
      </c>
      <c r="B32" s="9" t="str">
        <f>$B$6</f>
        <v>OK</v>
      </c>
      <c r="C32" s="10" t="str">
        <f>$C$6</f>
        <v>Pågående</v>
      </c>
      <c r="D32" s="11" t="str">
        <f>$D$6</f>
        <v>NOK</v>
      </c>
      <c r="E32" s="12" t="str">
        <f>$E$6</f>
        <v>N/A</v>
      </c>
      <c r="H32" s="8" t="str">
        <f>$A$6</f>
        <v>-</v>
      </c>
      <c r="I32" s="9" t="str">
        <f>$B$6</f>
        <v>OK</v>
      </c>
      <c r="J32" s="10" t="str">
        <f>$C$6</f>
        <v>Pågående</v>
      </c>
      <c r="K32" s="11" t="str">
        <f>$D$6</f>
        <v>NOK</v>
      </c>
      <c r="L32" s="12" t="str">
        <f>$E$6</f>
        <v>N/A</v>
      </c>
    </row>
    <row r="33" spans="1:49" ht="21" customHeight="1" x14ac:dyDescent="0.25">
      <c r="A33" s="18">
        <f>COUNTIF('Kravlista REST API profil'!E111:E114,"-")</f>
        <v>3</v>
      </c>
      <c r="B33" s="18">
        <f>COUNTIF('Kravlista REST API profil'!E111:E114,"OK")</f>
        <v>0</v>
      </c>
      <c r="C33" s="18">
        <f>COUNTIF('Kravlista REST API profil'!E111:E114,"Pågående")</f>
        <v>0</v>
      </c>
      <c r="D33" s="18">
        <f>COUNTIF('Kravlista REST API profil'!E111:E114,"NOK")</f>
        <v>0</v>
      </c>
      <c r="E33" s="18">
        <f>COUNTIF('Kravlista REST API profil'!E111:E114,"N/A")</f>
        <v>0</v>
      </c>
      <c r="F33" s="2" t="s">
        <v>9</v>
      </c>
      <c r="H33" s="18">
        <f>COUNTIF('Kravlista REST API profil'!E115:E116,"-")</f>
        <v>2</v>
      </c>
      <c r="I33" s="18">
        <f>COUNTIF('Kravlista REST API profil'!E115:E116,"OK")</f>
        <v>0</v>
      </c>
      <c r="J33" s="18">
        <f>COUNTIF('Kravlista REST API profil'!E115:E116,"Pågående")</f>
        <v>0</v>
      </c>
      <c r="K33" s="18">
        <f>COUNTIF('Kravlista REST API profil'!E115:E116,"NOK")</f>
        <v>0</v>
      </c>
      <c r="L33" s="18">
        <f>COUNTIF('Kravlista REST API profil'!E115:E116,"N/A")</f>
        <v>0</v>
      </c>
      <c r="M33" s="2" t="s">
        <v>9</v>
      </c>
    </row>
    <row r="34" spans="1:49" ht="21" customHeight="1" x14ac:dyDescent="0.25">
      <c r="A34" s="16">
        <f>(A33/SUM(A33:E33))</f>
        <v>1</v>
      </c>
      <c r="B34" s="16">
        <f>(B33/SUM(A33:E33))</f>
        <v>0</v>
      </c>
      <c r="C34" s="16">
        <f>(C33/SUM(A33:E33))</f>
        <v>0</v>
      </c>
      <c r="D34" s="16">
        <f>(D33/SUM(A33:E33))</f>
        <v>0</v>
      </c>
      <c r="E34" s="16">
        <f>(E33/SUM(A33:E33))</f>
        <v>0</v>
      </c>
      <c r="F34" s="15" t="s">
        <v>10</v>
      </c>
      <c r="H34" s="16">
        <f>(H33/SUM(H33:L33))</f>
        <v>1</v>
      </c>
      <c r="I34" s="16">
        <f>(I33/SUM(H33:L33))</f>
        <v>0</v>
      </c>
      <c r="J34" s="16">
        <f>(J33/SUM(H33:L33))</f>
        <v>0</v>
      </c>
      <c r="K34" s="16">
        <f>(K33/SUM(H33:L33))</f>
        <v>0</v>
      </c>
      <c r="L34" s="16">
        <f>(L33/SUM(H33:L33))</f>
        <v>0</v>
      </c>
      <c r="M34" s="15" t="s">
        <v>10</v>
      </c>
    </row>
    <row r="35" spans="1:49" s="17" customFormat="1" x14ac:dyDescent="0.25">
      <c r="A35" s="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row>
    <row r="36" spans="1:49" ht="21" customHeight="1" x14ac:dyDescent="0.25">
      <c r="A36" s="17" t="str">
        <f>('Kravlista REST API profil'!$A117)</f>
        <v>Versionshantering</v>
      </c>
      <c r="B36" s="17"/>
      <c r="C36" s="17"/>
      <c r="D36" s="17"/>
      <c r="E36" s="17"/>
      <c r="F36" s="17"/>
      <c r="G36" s="17"/>
      <c r="H36" s="17" t="str">
        <f>('Kravlista REST API profil'!$A142)</f>
        <v>Spårbarhet och korrelation</v>
      </c>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row>
    <row r="37" spans="1:49" ht="21" customHeight="1" x14ac:dyDescent="0.25">
      <c r="A37" s="8" t="str">
        <f>$A$6</f>
        <v>-</v>
      </c>
      <c r="B37" s="9" t="str">
        <f>$B$6</f>
        <v>OK</v>
      </c>
      <c r="C37" s="10" t="str">
        <f>$C$6</f>
        <v>Pågående</v>
      </c>
      <c r="D37" s="11" t="str">
        <f>$D$6</f>
        <v>NOK</v>
      </c>
      <c r="E37" s="12" t="str">
        <f>$E$6</f>
        <v>N/A</v>
      </c>
      <c r="H37" s="8" t="str">
        <f>$A$6</f>
        <v>-</v>
      </c>
      <c r="I37" s="9" t="str">
        <f>$B$6</f>
        <v>OK</v>
      </c>
      <c r="J37" s="10" t="str">
        <f>$C$6</f>
        <v>Pågående</v>
      </c>
      <c r="K37" s="11" t="str">
        <f>$D$6</f>
        <v>NOK</v>
      </c>
      <c r="L37" s="12" t="str">
        <f>$E$6</f>
        <v>N/A</v>
      </c>
    </row>
    <row r="38" spans="1:49" ht="21" customHeight="1" x14ac:dyDescent="0.25">
      <c r="A38" s="18">
        <f>COUNTIF('Kravlista REST API profil'!E117:E141,"-")</f>
        <v>19</v>
      </c>
      <c r="B38" s="18">
        <f>COUNTIF('Kravlista REST API profil'!E117:E141,"OK")</f>
        <v>0</v>
      </c>
      <c r="C38" s="18">
        <f>COUNTIF('Kravlista REST API profil'!E117:E141,"Pågående")</f>
        <v>0</v>
      </c>
      <c r="D38" s="18">
        <f>COUNTIF('Kravlista REST API profil'!E117:E141,"NOK")</f>
        <v>0</v>
      </c>
      <c r="E38" s="18">
        <f>COUNTIF('Kravlista REST API profil'!E117:E141,"N/A")</f>
        <v>0</v>
      </c>
      <c r="F38" s="2" t="s">
        <v>9</v>
      </c>
      <c r="H38" s="18">
        <f>COUNTIF('Kravlista REST API profil'!E142:E147,"-")</f>
        <v>6</v>
      </c>
      <c r="I38" s="18">
        <f>COUNTIF('Kravlista REST API profil'!E142:E147,"OK")</f>
        <v>0</v>
      </c>
      <c r="J38" s="18">
        <f>COUNTIF('Kravlista REST API profil'!E142:E147,"Pågående")</f>
        <v>0</v>
      </c>
      <c r="K38" s="18">
        <f>COUNTIF('Kravlista REST API profil'!E142:E147,"NOK")</f>
        <v>0</v>
      </c>
      <c r="L38" s="18">
        <f>COUNTIF('Kravlista REST API profil'!E142:E147,"N/A")</f>
        <v>0</v>
      </c>
      <c r="M38" s="2" t="s">
        <v>9</v>
      </c>
    </row>
    <row r="39" spans="1:49" ht="21" customHeight="1" x14ac:dyDescent="0.25">
      <c r="A39" s="16">
        <f>(A38/SUM(A38:E38))</f>
        <v>1</v>
      </c>
      <c r="B39" s="16">
        <f>(B38/SUM(A38:E38))</f>
        <v>0</v>
      </c>
      <c r="C39" s="16">
        <f>(C38/SUM(A38:E38))</f>
        <v>0</v>
      </c>
      <c r="D39" s="16">
        <f>(D38/SUM(A38:E38))</f>
        <v>0</v>
      </c>
      <c r="E39" s="16">
        <f>(E38/SUM(A38:E38))</f>
        <v>0</v>
      </c>
      <c r="F39" s="15" t="s">
        <v>10</v>
      </c>
      <c r="H39" s="16">
        <f>(H38/SUM(H38:L38))</f>
        <v>1</v>
      </c>
      <c r="I39" s="16">
        <f>(I38/SUM(H38:L38))</f>
        <v>0</v>
      </c>
      <c r="J39" s="16">
        <f>(J38/SUM(H38:L38))</f>
        <v>0</v>
      </c>
      <c r="K39" s="16">
        <f>(K38/SUM(H38:L38))</f>
        <v>0</v>
      </c>
      <c r="L39" s="16">
        <f>(L38/SUM(H38:L38))</f>
        <v>0</v>
      </c>
      <c r="M39" s="15" t="s">
        <v>10</v>
      </c>
    </row>
    <row r="40" spans="1:49" s="17" customFormat="1" x14ac:dyDescent="0.25">
      <c r="A40" s="1"/>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row>
    <row r="41" spans="1:49" ht="21" customHeight="1" x14ac:dyDescent="0.25">
      <c r="A41" s="17" t="str">
        <f>('Kravlista REST API profil'!$A148)</f>
        <v>Webhooks</v>
      </c>
      <c r="B41" s="17"/>
      <c r="C41" s="17"/>
      <c r="D41" s="17"/>
      <c r="E41" s="17"/>
      <c r="F41" s="17"/>
      <c r="G41" s="17"/>
      <c r="H41" s="17" t="str">
        <f>('Kravlista REST API profil'!$A154)</f>
        <v>Hypermedia</v>
      </c>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row>
    <row r="42" spans="1:49" ht="21" customHeight="1" x14ac:dyDescent="0.25">
      <c r="A42" s="8" t="str">
        <f>$A$6</f>
        <v>-</v>
      </c>
      <c r="B42" s="9" t="str">
        <f>$B$6</f>
        <v>OK</v>
      </c>
      <c r="C42" s="10" t="str">
        <f>$C$6</f>
        <v>Pågående</v>
      </c>
      <c r="D42" s="11" t="str">
        <f>$D$6</f>
        <v>NOK</v>
      </c>
      <c r="E42" s="12" t="str">
        <f>$E$6</f>
        <v>N/A</v>
      </c>
      <c r="H42" s="8" t="str">
        <f>$A$6</f>
        <v>-</v>
      </c>
      <c r="I42" s="9" t="str">
        <f>$B$6</f>
        <v>OK</v>
      </c>
      <c r="J42" s="10" t="str">
        <f>$C$6</f>
        <v>Pågående</v>
      </c>
      <c r="K42" s="11" t="str">
        <f>$D$6</f>
        <v>NOK</v>
      </c>
      <c r="L42" s="12" t="str">
        <f>$E$6</f>
        <v>N/A</v>
      </c>
    </row>
    <row r="43" spans="1:49" ht="21" customHeight="1" x14ac:dyDescent="0.25">
      <c r="A43" s="18">
        <f>COUNTIF('Kravlista REST API profil'!E148:E153,"-")</f>
        <v>6</v>
      </c>
      <c r="B43" s="18">
        <f>COUNTIF('Kravlista REST API profil'!E148:E153,"OK")</f>
        <v>0</v>
      </c>
      <c r="C43" s="18">
        <f>COUNTIF('Kravlista REST API profil'!E148:E153,"Pågående")</f>
        <v>0</v>
      </c>
      <c r="D43" s="18">
        <f>COUNTIF('Kravlista REST API profil'!E148:E153,"NOK")</f>
        <v>0</v>
      </c>
      <c r="E43" s="18">
        <f>COUNTIF('Kravlista REST API profil'!E148:E153,"N/A")</f>
        <v>0</v>
      </c>
      <c r="F43" s="2" t="s">
        <v>9</v>
      </c>
      <c r="H43" s="18">
        <f>COUNTIF('Kravlista REST API profil'!E154:E178,"-")</f>
        <v>19</v>
      </c>
      <c r="I43" s="18">
        <f>COUNTIF('Kravlista REST API profil'!E154:E178,"OK")</f>
        <v>0</v>
      </c>
      <c r="J43" s="18">
        <f>COUNTIF('Kravlista REST API profil'!E154:E178,"Pågående")</f>
        <v>0</v>
      </c>
      <c r="K43" s="18">
        <f>COUNTIF('Kravlista REST API profil'!E154:E178,"NOK")</f>
        <v>0</v>
      </c>
      <c r="L43" s="18">
        <f>COUNTIF('Kravlista REST API profil'!E154:E178,"N/A")</f>
        <v>0</v>
      </c>
      <c r="M43" s="2" t="s">
        <v>9</v>
      </c>
    </row>
    <row r="44" spans="1:49" ht="21" customHeight="1" x14ac:dyDescent="0.25">
      <c r="A44" s="16">
        <f>(A43/SUM(A43:E43))</f>
        <v>1</v>
      </c>
      <c r="B44" s="16">
        <f>(B43/SUM(A43:E43))</f>
        <v>0</v>
      </c>
      <c r="C44" s="16">
        <f>(C43/SUM(A43:E43))</f>
        <v>0</v>
      </c>
      <c r="D44" s="16">
        <f>(D43/SUM(A43:E43))</f>
        <v>0</v>
      </c>
      <c r="E44" s="16">
        <f>(E43/SUM(A43:E43))</f>
        <v>0</v>
      </c>
      <c r="F44" s="15" t="s">
        <v>10</v>
      </c>
      <c r="H44" s="16">
        <f>(H43/SUM(H43:L43))</f>
        <v>1</v>
      </c>
      <c r="I44" s="16">
        <f>(I43/SUM(H43:L43))</f>
        <v>0</v>
      </c>
      <c r="J44" s="16">
        <f>(J43/SUM(H43:L43))</f>
        <v>0</v>
      </c>
      <c r="K44" s="16">
        <f>(K43/SUM(H43:L43))</f>
        <v>0</v>
      </c>
      <c r="L44" s="16">
        <f>(L43/SUM(H43:L43))</f>
        <v>0</v>
      </c>
      <c r="M44" s="15" t="s">
        <v>10</v>
      </c>
    </row>
    <row r="45" spans="1:49" s="17" customFormat="1" x14ac:dyDescent="0.25">
      <c r="A45" s="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row>
    <row r="46" spans="1:49" ht="21" customHeight="1" x14ac:dyDescent="0.25">
      <c r="A46" s="17" t="str">
        <f>('Kravlista REST API profil'!$A179)</f>
        <v>Filtrering, namnsättning och sökparametrar</v>
      </c>
      <c r="B46" s="17"/>
      <c r="C46" s="17"/>
      <c r="D46" s="17"/>
      <c r="E46" s="17"/>
      <c r="F46" s="17"/>
      <c r="G46" s="17"/>
      <c r="H46" s="17" t="str">
        <f>('Kravlista REST API profil'!$A195)</f>
        <v>Cachning</v>
      </c>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row>
    <row r="47" spans="1:49" ht="21" customHeight="1" x14ac:dyDescent="0.25">
      <c r="A47" s="8" t="str">
        <f>$A$6</f>
        <v>-</v>
      </c>
      <c r="B47" s="9" t="str">
        <f>$B$6</f>
        <v>OK</v>
      </c>
      <c r="C47" s="10" t="str">
        <f>$C$6</f>
        <v>Pågående</v>
      </c>
      <c r="D47" s="11" t="str">
        <f>$D$6</f>
        <v>NOK</v>
      </c>
      <c r="E47" s="12" t="str">
        <f>$E$6</f>
        <v>N/A</v>
      </c>
      <c r="H47" s="8" t="str">
        <f>$A$6</f>
        <v>-</v>
      </c>
      <c r="I47" s="9" t="str">
        <f>$B$6</f>
        <v>OK</v>
      </c>
      <c r="J47" s="10" t="str">
        <f>$C$6</f>
        <v>Pågående</v>
      </c>
      <c r="K47" s="11" t="str">
        <f>$D$6</f>
        <v>NOK</v>
      </c>
      <c r="L47" s="12" t="str">
        <f>$E$6</f>
        <v>N/A</v>
      </c>
    </row>
    <row r="48" spans="1:49" ht="21" customHeight="1" x14ac:dyDescent="0.25">
      <c r="A48" s="18">
        <f>COUNTIF('Kravlista REST API profil'!E179:E194,"-")</f>
        <v>13</v>
      </c>
      <c r="B48" s="18">
        <f>COUNTIF('Kravlista REST API profil'!E179:E194,"OK")</f>
        <v>0</v>
      </c>
      <c r="C48" s="18">
        <f>COUNTIF('Kravlista REST API profil'!E179:E194,"Pågående")</f>
        <v>0</v>
      </c>
      <c r="D48" s="18">
        <f>COUNTIF('Kravlista REST API profil'!E179:E194,"NOK")</f>
        <v>0</v>
      </c>
      <c r="E48" s="18">
        <f>COUNTIF('Kravlista REST API profil'!E179:E194,"N/A")</f>
        <v>0</v>
      </c>
      <c r="F48" s="2" t="s">
        <v>9</v>
      </c>
      <c r="H48" s="18">
        <f>COUNTIF('Kravlista REST API profil'!E195,"-")</f>
        <v>1</v>
      </c>
      <c r="I48" s="18">
        <f>COUNTIF('Kravlista REST API profil'!E195,"OK")</f>
        <v>0</v>
      </c>
      <c r="J48" s="18">
        <f>COUNTIF('Kravlista REST API profil'!E195,"Pågående")</f>
        <v>0</v>
      </c>
      <c r="K48" s="18">
        <f>COUNTIF('Kravlista REST API profil'!E195,"NOK")</f>
        <v>0</v>
      </c>
      <c r="L48" s="18">
        <f>COUNTIF('Kravlista REST API profil'!E195,"N/A")</f>
        <v>0</v>
      </c>
      <c r="M48" s="2" t="s">
        <v>9</v>
      </c>
    </row>
    <row r="49" spans="1:13" ht="21" customHeight="1" x14ac:dyDescent="0.25">
      <c r="A49" s="16">
        <f>(A48/SUM(A48:E48))</f>
        <v>1</v>
      </c>
      <c r="B49" s="16">
        <f>(B48/SUM(A48:E48))</f>
        <v>0</v>
      </c>
      <c r="C49" s="16">
        <f>(C48/SUM(A48:E48))</f>
        <v>0</v>
      </c>
      <c r="D49" s="16">
        <f>(D48/SUM(A48:E48))</f>
        <v>0</v>
      </c>
      <c r="E49" s="16">
        <f>(E48/SUM(A48:E48))</f>
        <v>0</v>
      </c>
      <c r="F49" s="15" t="s">
        <v>10</v>
      </c>
      <c r="H49" s="16">
        <f>(H48/SUM(H48:L48))</f>
        <v>1</v>
      </c>
      <c r="I49" s="16">
        <f>(I48/SUM(H48:L48))</f>
        <v>0</v>
      </c>
      <c r="J49" s="16">
        <f>(J48/SUM(H48:L48))</f>
        <v>0</v>
      </c>
      <c r="K49" s="16">
        <f>(K48/SUM(H48:L48))</f>
        <v>0</v>
      </c>
      <c r="L49" s="16">
        <f>(L48/SUM(H48:L48))</f>
        <v>0</v>
      </c>
      <c r="M49" s="15" t="s">
        <v>10</v>
      </c>
    </row>
  </sheetData>
  <mergeCells count="4">
    <mergeCell ref="A1:W1"/>
    <mergeCell ref="A2:N2"/>
    <mergeCell ref="O2:U2"/>
    <mergeCell ref="A3:N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423"/>
  <sheetViews>
    <sheetView zoomScaleNormal="100" workbookViewId="0">
      <selection activeCell="C2" sqref="C2"/>
    </sheetView>
  </sheetViews>
  <sheetFormatPr defaultColWidth="8.7109375" defaultRowHeight="15.75" x14ac:dyDescent="0.25"/>
  <cols>
    <col min="1" max="1" width="25.5703125" style="19" customWidth="1"/>
    <col min="2" max="2" width="9.28515625" style="20" customWidth="1"/>
    <col min="3" max="3" width="92.42578125" style="20" customWidth="1"/>
    <col min="4" max="4" width="12" style="20" customWidth="1"/>
    <col min="5" max="5" width="11.140625" style="21" customWidth="1"/>
    <col min="6" max="6" width="38.5703125" style="22" customWidth="1"/>
    <col min="7" max="7" width="8.7109375" style="23"/>
    <col min="8" max="62" width="8.7109375" style="24"/>
    <col min="63" max="16384" width="8.7109375" style="20"/>
  </cols>
  <sheetData>
    <row r="1" spans="1:62" s="28" customFormat="1" x14ac:dyDescent="0.25">
      <c r="A1" s="25" t="s">
        <v>12</v>
      </c>
      <c r="B1" s="25" t="s">
        <v>13</v>
      </c>
      <c r="C1" s="25" t="s">
        <v>14</v>
      </c>
      <c r="D1" s="25" t="s">
        <v>15</v>
      </c>
      <c r="E1" s="25" t="s">
        <v>16</v>
      </c>
      <c r="F1" s="26" t="s">
        <v>17</v>
      </c>
      <c r="G1" s="27"/>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row>
    <row r="2" spans="1:62" ht="31.5" customHeight="1" x14ac:dyDescent="0.25">
      <c r="A2" s="29" t="s">
        <v>18</v>
      </c>
      <c r="B2" s="30" t="s">
        <v>19</v>
      </c>
      <c r="C2" s="31" t="s">
        <v>20</v>
      </c>
      <c r="D2" s="31" t="s">
        <v>21</v>
      </c>
      <c r="E2" s="32" t="s">
        <v>4</v>
      </c>
      <c r="F2" s="31"/>
      <c r="G2" s="27"/>
    </row>
    <row r="3" spans="1:62" ht="31.5" customHeight="1" x14ac:dyDescent="0.25">
      <c r="A3" s="33"/>
      <c r="B3" s="30" t="s">
        <v>22</v>
      </c>
      <c r="C3" s="31" t="s">
        <v>23</v>
      </c>
      <c r="D3" s="31" t="s">
        <v>21</v>
      </c>
      <c r="E3" s="32" t="s">
        <v>4</v>
      </c>
      <c r="F3" s="31"/>
      <c r="G3" s="27"/>
    </row>
    <row r="4" spans="1:62" ht="15.75" customHeight="1" x14ac:dyDescent="0.25">
      <c r="A4" s="33"/>
      <c r="B4" s="34" t="s">
        <v>24</v>
      </c>
      <c r="C4" s="35"/>
      <c r="D4" s="35"/>
      <c r="E4" s="35"/>
      <c r="F4" s="36"/>
      <c r="G4" s="27"/>
    </row>
    <row r="5" spans="1:62" ht="110.25" x14ac:dyDescent="0.25">
      <c r="A5" s="33"/>
      <c r="B5" s="30" t="s">
        <v>25</v>
      </c>
      <c r="C5" s="31" t="s">
        <v>26</v>
      </c>
      <c r="D5" s="31" t="s">
        <v>27</v>
      </c>
      <c r="E5" s="32" t="s">
        <v>4</v>
      </c>
      <c r="F5" s="31"/>
      <c r="G5" s="27"/>
    </row>
    <row r="6" spans="1:62" ht="31.5" x14ac:dyDescent="0.25">
      <c r="A6" s="33"/>
      <c r="B6" s="30" t="s">
        <v>28</v>
      </c>
      <c r="C6" s="31" t="s">
        <v>29</v>
      </c>
      <c r="D6" s="31" t="s">
        <v>27</v>
      </c>
      <c r="E6" s="32" t="s">
        <v>4</v>
      </c>
      <c r="F6" s="31"/>
      <c r="G6" s="27"/>
    </row>
    <row r="7" spans="1:62" x14ac:dyDescent="0.25">
      <c r="A7" s="33"/>
      <c r="B7" s="30" t="s">
        <v>30</v>
      </c>
      <c r="C7" s="31" t="s">
        <v>31</v>
      </c>
      <c r="D7" s="31" t="s">
        <v>27</v>
      </c>
      <c r="E7" s="32" t="s">
        <v>4</v>
      </c>
      <c r="F7" s="31"/>
      <c r="G7" s="27"/>
    </row>
    <row r="8" spans="1:62" x14ac:dyDescent="0.25">
      <c r="A8" s="33"/>
      <c r="B8" s="30" t="s">
        <v>32</v>
      </c>
      <c r="C8" s="31" t="s">
        <v>33</v>
      </c>
      <c r="D8" s="31" t="s">
        <v>21</v>
      </c>
      <c r="E8" s="32" t="s">
        <v>4</v>
      </c>
      <c r="F8" s="31"/>
      <c r="G8" s="27"/>
    </row>
    <row r="9" spans="1:62" x14ac:dyDescent="0.25">
      <c r="A9" s="33"/>
      <c r="B9" s="30" t="s">
        <v>34</v>
      </c>
      <c r="C9" s="31" t="s">
        <v>35</v>
      </c>
      <c r="D9" s="31" t="s">
        <v>21</v>
      </c>
      <c r="E9" s="32" t="s">
        <v>4</v>
      </c>
      <c r="F9" s="31"/>
      <c r="G9" s="27"/>
    </row>
    <row r="10" spans="1:62" x14ac:dyDescent="0.25">
      <c r="A10" s="33"/>
      <c r="B10" s="30" t="s">
        <v>36</v>
      </c>
      <c r="C10" s="31" t="s">
        <v>37</v>
      </c>
      <c r="D10" s="31" t="s">
        <v>27</v>
      </c>
      <c r="E10" s="32" t="s">
        <v>4</v>
      </c>
      <c r="F10" s="31"/>
      <c r="G10" s="27"/>
    </row>
    <row r="11" spans="1:62" x14ac:dyDescent="0.25">
      <c r="A11" s="33"/>
      <c r="B11" s="30" t="s">
        <v>38</v>
      </c>
      <c r="C11" s="31" t="s">
        <v>39</v>
      </c>
      <c r="D11" s="31" t="s">
        <v>27</v>
      </c>
      <c r="E11" s="32" t="s">
        <v>4</v>
      </c>
      <c r="F11" s="31"/>
      <c r="G11" s="27"/>
    </row>
    <row r="12" spans="1:62" x14ac:dyDescent="0.25">
      <c r="A12" s="33"/>
      <c r="B12" s="30" t="s">
        <v>40</v>
      </c>
      <c r="C12" s="31" t="s">
        <v>41</v>
      </c>
      <c r="D12" s="31" t="s">
        <v>27</v>
      </c>
      <c r="E12" s="32" t="s">
        <v>4</v>
      </c>
      <c r="F12" s="31"/>
      <c r="G12" s="27"/>
    </row>
    <row r="13" spans="1:62" x14ac:dyDescent="0.25">
      <c r="A13" s="33"/>
      <c r="B13" s="30" t="s">
        <v>42</v>
      </c>
      <c r="C13" s="31" t="s">
        <v>43</v>
      </c>
      <c r="D13" s="31" t="s">
        <v>27</v>
      </c>
      <c r="E13" s="32" t="s">
        <v>4</v>
      </c>
      <c r="F13" s="31"/>
      <c r="G13" s="27"/>
    </row>
    <row r="14" spans="1:62" ht="31.5" x14ac:dyDescent="0.25">
      <c r="A14" s="33"/>
      <c r="B14" s="30" t="s">
        <v>44</v>
      </c>
      <c r="C14" s="31" t="s">
        <v>45</v>
      </c>
      <c r="D14" s="31" t="s">
        <v>27</v>
      </c>
      <c r="E14" s="32" t="s">
        <v>4</v>
      </c>
      <c r="F14" s="31"/>
      <c r="G14" s="27"/>
    </row>
    <row r="15" spans="1:62" x14ac:dyDescent="0.25">
      <c r="A15" s="33"/>
      <c r="B15" s="30" t="s">
        <v>46</v>
      </c>
      <c r="C15" s="31" t="s">
        <v>47</v>
      </c>
      <c r="D15" s="31" t="s">
        <v>27</v>
      </c>
      <c r="E15" s="32" t="s">
        <v>4</v>
      </c>
      <c r="F15" s="31"/>
      <c r="G15" s="27"/>
    </row>
    <row r="16" spans="1:62" ht="31.5" x14ac:dyDescent="0.25">
      <c r="A16" s="33"/>
      <c r="B16" s="30" t="s">
        <v>48</v>
      </c>
      <c r="C16" s="31" t="s">
        <v>49</v>
      </c>
      <c r="D16" s="31" t="s">
        <v>27</v>
      </c>
      <c r="E16" s="32" t="s">
        <v>4</v>
      </c>
      <c r="F16" s="31"/>
      <c r="G16" s="27"/>
    </row>
    <row r="17" spans="1:7" ht="15.75" customHeight="1" x14ac:dyDescent="0.25">
      <c r="A17" s="33"/>
      <c r="B17" s="34" t="s">
        <v>50</v>
      </c>
      <c r="C17" s="35"/>
      <c r="D17" s="35"/>
      <c r="E17" s="35"/>
      <c r="F17" s="36"/>
      <c r="G17" s="27"/>
    </row>
    <row r="18" spans="1:7" ht="31.5" x14ac:dyDescent="0.25">
      <c r="A18" s="33"/>
      <c r="B18" s="30" t="s">
        <v>51</v>
      </c>
      <c r="C18" s="31" t="s">
        <v>52</v>
      </c>
      <c r="D18" s="31" t="s">
        <v>27</v>
      </c>
      <c r="E18" s="32" t="s">
        <v>4</v>
      </c>
      <c r="F18" s="31"/>
      <c r="G18" s="27"/>
    </row>
    <row r="19" spans="1:7" ht="31.5" x14ac:dyDescent="0.25">
      <c r="A19" s="33"/>
      <c r="B19" s="30" t="s">
        <v>53</v>
      </c>
      <c r="C19" s="31" t="s">
        <v>54</v>
      </c>
      <c r="D19" s="31" t="s">
        <v>21</v>
      </c>
      <c r="E19" s="32" t="s">
        <v>4</v>
      </c>
      <c r="F19" s="31"/>
      <c r="G19" s="27"/>
    </row>
    <row r="20" spans="1:7" x14ac:dyDescent="0.25">
      <c r="A20" s="33"/>
      <c r="B20" s="30" t="s">
        <v>55</v>
      </c>
      <c r="C20" s="31" t="s">
        <v>56</v>
      </c>
      <c r="D20" s="31" t="s">
        <v>21</v>
      </c>
      <c r="E20" s="32" t="s">
        <v>4</v>
      </c>
      <c r="F20" s="31"/>
      <c r="G20" s="27"/>
    </row>
    <row r="21" spans="1:7" ht="31.5" x14ac:dyDescent="0.25">
      <c r="A21" s="33"/>
      <c r="B21" s="30" t="s">
        <v>57</v>
      </c>
      <c r="C21" s="31" t="s">
        <v>45</v>
      </c>
      <c r="D21" s="31" t="s">
        <v>27</v>
      </c>
      <c r="E21" s="32" t="s">
        <v>4</v>
      </c>
      <c r="F21" s="31"/>
      <c r="G21" s="27"/>
    </row>
    <row r="22" spans="1:7" x14ac:dyDescent="0.25">
      <c r="A22" s="33"/>
      <c r="B22" s="30" t="s">
        <v>58</v>
      </c>
      <c r="C22" s="31" t="s">
        <v>47</v>
      </c>
      <c r="D22" s="31" t="s">
        <v>27</v>
      </c>
      <c r="E22" s="32" t="s">
        <v>4</v>
      </c>
      <c r="F22" s="31"/>
      <c r="G22" s="27"/>
    </row>
    <row r="23" spans="1:7" x14ac:dyDescent="0.25">
      <c r="A23" s="33"/>
      <c r="B23" s="30" t="s">
        <v>59</v>
      </c>
      <c r="C23" s="31" t="s">
        <v>60</v>
      </c>
      <c r="D23" s="31" t="s">
        <v>27</v>
      </c>
      <c r="E23" s="32" t="s">
        <v>4</v>
      </c>
      <c r="F23" s="31"/>
      <c r="G23" s="27"/>
    </row>
    <row r="24" spans="1:7" ht="31.5" x14ac:dyDescent="0.25">
      <c r="A24" s="33"/>
      <c r="B24" s="30" t="s">
        <v>61</v>
      </c>
      <c r="C24" s="31" t="s">
        <v>62</v>
      </c>
      <c r="D24" s="31" t="s">
        <v>27</v>
      </c>
      <c r="E24" s="32" t="s">
        <v>4</v>
      </c>
      <c r="F24" s="31"/>
      <c r="G24" s="27"/>
    </row>
    <row r="25" spans="1:7" ht="31.5" x14ac:dyDescent="0.25">
      <c r="A25" s="33"/>
      <c r="B25" s="30" t="s">
        <v>63</v>
      </c>
      <c r="C25" s="31" t="s">
        <v>64</v>
      </c>
      <c r="D25" s="31" t="s">
        <v>27</v>
      </c>
      <c r="E25" s="32" t="s">
        <v>4</v>
      </c>
      <c r="F25" s="31"/>
      <c r="G25" s="27"/>
    </row>
    <row r="26" spans="1:7" ht="31.5" x14ac:dyDescent="0.25">
      <c r="A26" s="37"/>
      <c r="B26" s="38" t="s">
        <v>65</v>
      </c>
      <c r="C26" s="39" t="s">
        <v>66</v>
      </c>
      <c r="D26" s="39" t="s">
        <v>27</v>
      </c>
      <c r="E26" s="40" t="s">
        <v>4</v>
      </c>
      <c r="F26" s="39"/>
      <c r="G26" s="27"/>
    </row>
    <row r="27" spans="1:7" ht="78.75" x14ac:dyDescent="0.25">
      <c r="A27" s="41" t="s">
        <v>67</v>
      </c>
      <c r="B27" s="42" t="s">
        <v>68</v>
      </c>
      <c r="C27" s="43" t="s">
        <v>69</v>
      </c>
      <c r="D27" s="42" t="s">
        <v>27</v>
      </c>
      <c r="E27" s="44" t="s">
        <v>4</v>
      </c>
      <c r="F27" s="42"/>
      <c r="G27" s="27"/>
    </row>
    <row r="28" spans="1:7" ht="15.75" customHeight="1" x14ac:dyDescent="0.25">
      <c r="A28" s="45"/>
      <c r="B28" s="35" t="s">
        <v>70</v>
      </c>
      <c r="C28" s="35"/>
      <c r="D28" s="35"/>
      <c r="E28" s="35"/>
      <c r="F28" s="36"/>
      <c r="G28" s="27"/>
    </row>
    <row r="29" spans="1:7" x14ac:dyDescent="0.25">
      <c r="A29" s="45"/>
      <c r="B29" s="46" t="s">
        <v>71</v>
      </c>
      <c r="C29" s="30" t="s">
        <v>72</v>
      </c>
      <c r="D29" s="47" t="s">
        <v>27</v>
      </c>
      <c r="E29" s="32" t="s">
        <v>4</v>
      </c>
      <c r="F29" s="31"/>
      <c r="G29" s="27"/>
    </row>
    <row r="30" spans="1:7" ht="15.75" customHeight="1" x14ac:dyDescent="0.25">
      <c r="A30" s="45"/>
      <c r="B30" s="35" t="s">
        <v>73</v>
      </c>
      <c r="C30" s="35"/>
      <c r="D30" s="35"/>
      <c r="E30" s="35"/>
      <c r="F30" s="36"/>
      <c r="G30" s="27"/>
    </row>
    <row r="31" spans="1:7" x14ac:dyDescent="0.25">
      <c r="A31" s="45"/>
      <c r="B31" s="46" t="s">
        <v>74</v>
      </c>
      <c r="C31" s="31" t="s">
        <v>75</v>
      </c>
      <c r="D31" s="31" t="s">
        <v>21</v>
      </c>
      <c r="E31" s="32" t="s">
        <v>4</v>
      </c>
      <c r="F31" s="31"/>
      <c r="G31" s="27"/>
    </row>
    <row r="32" spans="1:7" ht="31.5" x14ac:dyDescent="0.25">
      <c r="A32" s="48"/>
      <c r="B32" s="49" t="s">
        <v>76</v>
      </c>
      <c r="C32" s="39" t="s">
        <v>77</v>
      </c>
      <c r="D32" s="39" t="s">
        <v>21</v>
      </c>
      <c r="E32" s="40" t="s">
        <v>4</v>
      </c>
      <c r="F32" s="39"/>
      <c r="G32" s="27"/>
    </row>
    <row r="33" spans="1:7" ht="15.75" customHeight="1" x14ac:dyDescent="0.25">
      <c r="A33" s="33" t="s">
        <v>78</v>
      </c>
      <c r="B33" s="50" t="s">
        <v>79</v>
      </c>
      <c r="C33" s="51"/>
      <c r="D33" s="51"/>
      <c r="E33" s="51"/>
      <c r="F33" s="52"/>
      <c r="G33" s="27"/>
    </row>
    <row r="34" spans="1:7" ht="31.5" x14ac:dyDescent="0.25">
      <c r="A34" s="33"/>
      <c r="B34" s="30" t="s">
        <v>80</v>
      </c>
      <c r="C34" s="31" t="s">
        <v>81</v>
      </c>
      <c r="D34" s="31" t="s">
        <v>82</v>
      </c>
      <c r="E34" s="32" t="s">
        <v>4</v>
      </c>
      <c r="F34" s="31"/>
      <c r="G34" s="27"/>
    </row>
    <row r="35" spans="1:7" ht="31.5" x14ac:dyDescent="0.25">
      <c r="A35" s="33"/>
      <c r="B35" s="30" t="s">
        <v>83</v>
      </c>
      <c r="C35" s="31" t="s">
        <v>84</v>
      </c>
      <c r="D35" s="31" t="s">
        <v>82</v>
      </c>
      <c r="E35" s="32" t="s">
        <v>4</v>
      </c>
      <c r="F35" s="31"/>
      <c r="G35" s="27"/>
    </row>
    <row r="36" spans="1:7" ht="31.5" x14ac:dyDescent="0.25">
      <c r="A36" s="33"/>
      <c r="B36" s="30" t="s">
        <v>85</v>
      </c>
      <c r="C36" s="31" t="s">
        <v>86</v>
      </c>
      <c r="D36" s="31" t="s">
        <v>27</v>
      </c>
      <c r="E36" s="32" t="s">
        <v>4</v>
      </c>
      <c r="F36" s="31"/>
      <c r="G36" s="27"/>
    </row>
    <row r="37" spans="1:7" ht="166.5" customHeight="1" x14ac:dyDescent="0.25">
      <c r="A37" s="33"/>
      <c r="B37" s="30" t="s">
        <v>87</v>
      </c>
      <c r="C37" s="31" t="s">
        <v>88</v>
      </c>
      <c r="D37" s="31" t="s">
        <v>21</v>
      </c>
      <c r="E37" s="32" t="s">
        <v>4</v>
      </c>
      <c r="F37" s="31"/>
      <c r="G37" s="27"/>
    </row>
    <row r="38" spans="1:7" x14ac:dyDescent="0.25">
      <c r="A38" s="33"/>
      <c r="B38" s="34" t="s">
        <v>89</v>
      </c>
      <c r="C38" s="35"/>
      <c r="D38" s="35"/>
      <c r="E38" s="35"/>
      <c r="F38" s="36"/>
      <c r="G38" s="27"/>
    </row>
    <row r="39" spans="1:7" ht="96" customHeight="1" x14ac:dyDescent="0.25">
      <c r="A39" s="37"/>
      <c r="B39" s="38" t="s">
        <v>90</v>
      </c>
      <c r="C39" s="39" t="s">
        <v>91</v>
      </c>
      <c r="D39" s="39" t="s">
        <v>27</v>
      </c>
      <c r="E39" s="40" t="s">
        <v>4</v>
      </c>
      <c r="F39" s="39"/>
      <c r="G39" s="27"/>
    </row>
    <row r="40" spans="1:7" ht="31.5" x14ac:dyDescent="0.25">
      <c r="A40" s="45" t="s">
        <v>92</v>
      </c>
      <c r="B40" s="51" t="s">
        <v>93</v>
      </c>
      <c r="C40" s="51"/>
      <c r="D40" s="51"/>
      <c r="E40" s="51"/>
      <c r="F40" s="52"/>
      <c r="G40" s="27"/>
    </row>
    <row r="41" spans="1:7" ht="31.5" x14ac:dyDescent="0.25">
      <c r="A41" s="45"/>
      <c r="B41" s="46" t="s">
        <v>94</v>
      </c>
      <c r="C41" s="31" t="s">
        <v>95</v>
      </c>
      <c r="D41" s="31" t="s">
        <v>21</v>
      </c>
      <c r="E41" s="32" t="s">
        <v>4</v>
      </c>
      <c r="F41" s="31"/>
      <c r="G41" s="27"/>
    </row>
    <row r="42" spans="1:7" ht="15.75" customHeight="1" x14ac:dyDescent="0.25">
      <c r="A42" s="45"/>
      <c r="B42" s="46" t="s">
        <v>96</v>
      </c>
      <c r="C42" s="31" t="s">
        <v>97</v>
      </c>
      <c r="D42" s="31" t="s">
        <v>27</v>
      </c>
      <c r="E42" s="32" t="s">
        <v>4</v>
      </c>
      <c r="F42" s="31"/>
      <c r="G42" s="27"/>
    </row>
    <row r="43" spans="1:7" x14ac:dyDescent="0.25">
      <c r="A43" s="45"/>
      <c r="B43" s="46" t="s">
        <v>98</v>
      </c>
      <c r="C43" s="31" t="s">
        <v>99</v>
      </c>
      <c r="D43" s="31" t="s">
        <v>100</v>
      </c>
      <c r="E43" s="32" t="s">
        <v>4</v>
      </c>
      <c r="F43" s="31"/>
      <c r="G43" s="27"/>
    </row>
    <row r="44" spans="1:7" ht="110.25" x14ac:dyDescent="0.25">
      <c r="A44" s="45"/>
      <c r="B44" s="46" t="s">
        <v>101</v>
      </c>
      <c r="C44" s="31" t="s">
        <v>102</v>
      </c>
      <c r="D44" s="31" t="s">
        <v>21</v>
      </c>
      <c r="E44" s="32" t="s">
        <v>4</v>
      </c>
      <c r="F44" s="31"/>
      <c r="G44" s="27"/>
    </row>
    <row r="45" spans="1:7" ht="15.75" customHeight="1" x14ac:dyDescent="0.25">
      <c r="A45" s="45"/>
      <c r="B45" s="35" t="s">
        <v>103</v>
      </c>
      <c r="C45" s="35"/>
      <c r="D45" s="35"/>
      <c r="E45" s="35"/>
      <c r="F45" s="36"/>
      <c r="G45" s="27"/>
    </row>
    <row r="46" spans="1:7" x14ac:dyDescent="0.25">
      <c r="A46" s="45"/>
      <c r="B46" s="46" t="s">
        <v>104</v>
      </c>
      <c r="C46" s="31" t="s">
        <v>105</v>
      </c>
      <c r="D46" s="31" t="s">
        <v>82</v>
      </c>
      <c r="E46" s="32" t="s">
        <v>4</v>
      </c>
      <c r="F46" s="31"/>
      <c r="G46" s="27"/>
    </row>
    <row r="47" spans="1:7" ht="15.75" customHeight="1" x14ac:dyDescent="0.25">
      <c r="A47" s="45"/>
      <c r="B47" s="35" t="s">
        <v>106</v>
      </c>
      <c r="C47" s="35"/>
      <c r="D47" s="35"/>
      <c r="E47" s="35"/>
      <c r="F47" s="36"/>
      <c r="G47" s="27"/>
    </row>
    <row r="48" spans="1:7" ht="46.5" customHeight="1" x14ac:dyDescent="0.25">
      <c r="A48" s="45"/>
      <c r="B48" s="46" t="s">
        <v>107</v>
      </c>
      <c r="C48" s="53" t="s">
        <v>108</v>
      </c>
      <c r="D48" s="31" t="s">
        <v>27</v>
      </c>
      <c r="E48" s="32" t="s">
        <v>4</v>
      </c>
      <c r="F48" s="31"/>
      <c r="G48" s="27"/>
    </row>
    <row r="49" spans="1:7" ht="47.25" x14ac:dyDescent="0.25">
      <c r="A49" s="45"/>
      <c r="B49" s="46" t="s">
        <v>109</v>
      </c>
      <c r="C49" s="31" t="s">
        <v>110</v>
      </c>
      <c r="D49" s="31" t="s">
        <v>27</v>
      </c>
      <c r="E49" s="32" t="s">
        <v>4</v>
      </c>
      <c r="F49" s="31"/>
      <c r="G49" s="27"/>
    </row>
    <row r="50" spans="1:7" ht="47.25" x14ac:dyDescent="0.25">
      <c r="A50" s="48"/>
      <c r="B50" s="49" t="s">
        <v>111</v>
      </c>
      <c r="C50" s="39" t="s">
        <v>112</v>
      </c>
      <c r="D50" s="39" t="s">
        <v>100</v>
      </c>
      <c r="E50" s="40" t="s">
        <v>4</v>
      </c>
      <c r="F50" s="39"/>
      <c r="G50" s="27"/>
    </row>
    <row r="51" spans="1:7" x14ac:dyDescent="0.25">
      <c r="A51" s="45" t="s">
        <v>113</v>
      </c>
      <c r="B51" s="54" t="s">
        <v>114</v>
      </c>
      <c r="C51" s="43" t="s">
        <v>115</v>
      </c>
      <c r="D51" s="43" t="s">
        <v>27</v>
      </c>
      <c r="E51" s="44" t="s">
        <v>4</v>
      </c>
      <c r="F51" s="43"/>
      <c r="G51" s="27"/>
    </row>
    <row r="52" spans="1:7" ht="16.5" customHeight="1" x14ac:dyDescent="0.25">
      <c r="A52" s="45"/>
      <c r="B52" s="46" t="s">
        <v>116</v>
      </c>
      <c r="C52" s="31" t="s">
        <v>117</v>
      </c>
      <c r="D52" s="31" t="s">
        <v>21</v>
      </c>
      <c r="E52" s="32" t="s">
        <v>4</v>
      </c>
      <c r="F52" s="31"/>
      <c r="G52" s="27"/>
    </row>
    <row r="53" spans="1:7" ht="31.5" x14ac:dyDescent="0.25">
      <c r="A53" s="48"/>
      <c r="B53" s="49" t="s">
        <v>118</v>
      </c>
      <c r="C53" s="39" t="s">
        <v>119</v>
      </c>
      <c r="D53" s="39" t="s">
        <v>27</v>
      </c>
      <c r="E53" s="40" t="s">
        <v>4</v>
      </c>
      <c r="F53" s="39"/>
      <c r="G53" s="27"/>
    </row>
    <row r="54" spans="1:7" ht="15.75" customHeight="1" x14ac:dyDescent="0.25">
      <c r="A54" s="45" t="s">
        <v>120</v>
      </c>
      <c r="B54" s="51" t="s">
        <v>121</v>
      </c>
      <c r="C54" s="51"/>
      <c r="D54" s="51"/>
      <c r="E54" s="51"/>
      <c r="F54" s="52"/>
      <c r="G54" s="27"/>
    </row>
    <row r="55" spans="1:7" x14ac:dyDescent="0.25">
      <c r="A55" s="45"/>
      <c r="B55" s="46" t="s">
        <v>122</v>
      </c>
      <c r="C55" s="31" t="s">
        <v>123</v>
      </c>
      <c r="D55" s="31" t="s">
        <v>27</v>
      </c>
      <c r="E55" s="32" t="s">
        <v>4</v>
      </c>
      <c r="F55" s="31"/>
      <c r="G55" s="27"/>
    </row>
    <row r="56" spans="1:7" ht="31.5" x14ac:dyDescent="0.25">
      <c r="A56" s="45"/>
      <c r="B56" s="46" t="s">
        <v>124</v>
      </c>
      <c r="C56" s="31" t="s">
        <v>125</v>
      </c>
      <c r="D56" s="31" t="s">
        <v>27</v>
      </c>
      <c r="E56" s="32" t="s">
        <v>4</v>
      </c>
      <c r="F56" s="31"/>
      <c r="G56" s="27"/>
    </row>
    <row r="57" spans="1:7" ht="31.5" x14ac:dyDescent="0.25">
      <c r="A57" s="45"/>
      <c r="B57" s="46" t="s">
        <v>126</v>
      </c>
      <c r="C57" s="31" t="s">
        <v>127</v>
      </c>
      <c r="D57" s="31" t="s">
        <v>27</v>
      </c>
      <c r="E57" s="32" t="s">
        <v>4</v>
      </c>
      <c r="F57" s="31"/>
      <c r="G57" s="27"/>
    </row>
    <row r="58" spans="1:7" x14ac:dyDescent="0.25">
      <c r="A58" s="45"/>
      <c r="B58" s="46" t="s">
        <v>128</v>
      </c>
      <c r="C58" s="31" t="s">
        <v>129</v>
      </c>
      <c r="D58" s="31" t="s">
        <v>21</v>
      </c>
      <c r="E58" s="32" t="s">
        <v>4</v>
      </c>
      <c r="F58" s="31"/>
      <c r="G58" s="27"/>
    </row>
    <row r="59" spans="1:7" x14ac:dyDescent="0.25">
      <c r="A59" s="45"/>
      <c r="B59" s="46" t="s">
        <v>130</v>
      </c>
      <c r="C59" s="31" t="s">
        <v>131</v>
      </c>
      <c r="D59" s="31" t="s">
        <v>27</v>
      </c>
      <c r="E59" s="32" t="s">
        <v>4</v>
      </c>
      <c r="F59" s="31"/>
      <c r="G59" s="27"/>
    </row>
    <row r="60" spans="1:7" ht="31.5" x14ac:dyDescent="0.25">
      <c r="A60" s="45"/>
      <c r="B60" s="46" t="s">
        <v>132</v>
      </c>
      <c r="C60" s="31" t="s">
        <v>133</v>
      </c>
      <c r="D60" s="31" t="s">
        <v>27</v>
      </c>
      <c r="E60" s="32" t="s">
        <v>4</v>
      </c>
      <c r="F60" s="31"/>
      <c r="G60" s="27"/>
    </row>
    <row r="61" spans="1:7" ht="15.75" customHeight="1" x14ac:dyDescent="0.25">
      <c r="A61" s="45"/>
      <c r="B61" s="35" t="s">
        <v>134</v>
      </c>
      <c r="C61" s="35"/>
      <c r="D61" s="35"/>
      <c r="E61" s="35"/>
      <c r="F61" s="36"/>
      <c r="G61" s="27"/>
    </row>
    <row r="62" spans="1:7" ht="16.5" customHeight="1" x14ac:dyDescent="0.25">
      <c r="A62" s="45"/>
      <c r="B62" s="46" t="s">
        <v>135</v>
      </c>
      <c r="C62" s="31" t="s">
        <v>136</v>
      </c>
      <c r="D62" s="31" t="s">
        <v>100</v>
      </c>
      <c r="E62" s="32" t="s">
        <v>4</v>
      </c>
      <c r="F62" s="31"/>
      <c r="G62" s="27"/>
    </row>
    <row r="63" spans="1:7" x14ac:dyDescent="0.25">
      <c r="A63" s="45"/>
      <c r="B63" s="46" t="s">
        <v>137</v>
      </c>
      <c r="C63" s="31" t="s">
        <v>138</v>
      </c>
      <c r="D63" s="31" t="s">
        <v>27</v>
      </c>
      <c r="E63" s="32" t="s">
        <v>4</v>
      </c>
      <c r="F63" s="31"/>
      <c r="G63" s="27"/>
    </row>
    <row r="64" spans="1:7" ht="31.5" x14ac:dyDescent="0.25">
      <c r="A64" s="45"/>
      <c r="B64" s="46" t="s">
        <v>139</v>
      </c>
      <c r="C64" s="31" t="s">
        <v>140</v>
      </c>
      <c r="D64" s="31" t="s">
        <v>27</v>
      </c>
      <c r="E64" s="32" t="s">
        <v>4</v>
      </c>
      <c r="F64" s="31"/>
      <c r="G64" s="27"/>
    </row>
    <row r="65" spans="1:7" ht="31.5" x14ac:dyDescent="0.25">
      <c r="A65" s="45"/>
      <c r="B65" s="46" t="s">
        <v>141</v>
      </c>
      <c r="C65" s="31" t="s">
        <v>142</v>
      </c>
      <c r="D65" s="31" t="s">
        <v>82</v>
      </c>
      <c r="E65" s="32" t="s">
        <v>4</v>
      </c>
      <c r="F65" s="31"/>
      <c r="G65" s="27"/>
    </row>
    <row r="66" spans="1:7" ht="31.5" x14ac:dyDescent="0.25">
      <c r="A66" s="45"/>
      <c r="B66" s="46" t="s">
        <v>143</v>
      </c>
      <c r="C66" s="31" t="s">
        <v>144</v>
      </c>
      <c r="D66" s="31" t="s">
        <v>21</v>
      </c>
      <c r="E66" s="32" t="s">
        <v>4</v>
      </c>
      <c r="F66" s="31"/>
      <c r="G66" s="27"/>
    </row>
    <row r="67" spans="1:7" x14ac:dyDescent="0.25">
      <c r="A67" s="45"/>
      <c r="B67" s="46" t="s">
        <v>145</v>
      </c>
      <c r="C67" s="31" t="s">
        <v>146</v>
      </c>
      <c r="D67" s="31" t="s">
        <v>21</v>
      </c>
      <c r="E67" s="32" t="s">
        <v>4</v>
      </c>
      <c r="F67" s="31"/>
      <c r="G67" s="27"/>
    </row>
    <row r="68" spans="1:7" ht="16.5" customHeight="1" x14ac:dyDescent="0.25">
      <c r="A68" s="45"/>
      <c r="B68" s="46" t="s">
        <v>147</v>
      </c>
      <c r="C68" s="31" t="s">
        <v>148</v>
      </c>
      <c r="D68" s="31" t="s">
        <v>100</v>
      </c>
      <c r="E68" s="32" t="s">
        <v>4</v>
      </c>
      <c r="F68" s="31"/>
      <c r="G68" s="27"/>
    </row>
    <row r="69" spans="1:7" ht="31.5" x14ac:dyDescent="0.25">
      <c r="A69" s="45"/>
      <c r="B69" s="46" t="s">
        <v>149</v>
      </c>
      <c r="C69" s="31" t="s">
        <v>150</v>
      </c>
      <c r="D69" s="31" t="s">
        <v>27</v>
      </c>
      <c r="E69" s="32" t="s">
        <v>4</v>
      </c>
      <c r="F69" s="31"/>
      <c r="G69" s="27"/>
    </row>
    <row r="70" spans="1:7" ht="47.25" x14ac:dyDescent="0.25">
      <c r="A70" s="45"/>
      <c r="B70" s="46" t="s">
        <v>151</v>
      </c>
      <c r="C70" s="31" t="s">
        <v>152</v>
      </c>
      <c r="D70" s="31" t="s">
        <v>21</v>
      </c>
      <c r="E70" s="32" t="s">
        <v>4</v>
      </c>
      <c r="F70" s="31"/>
      <c r="G70" s="27"/>
    </row>
    <row r="71" spans="1:7" x14ac:dyDescent="0.25">
      <c r="A71" s="45"/>
      <c r="B71" s="35" t="s">
        <v>153</v>
      </c>
      <c r="C71" s="35"/>
      <c r="D71" s="35"/>
      <c r="E71" s="35"/>
      <c r="F71" s="36"/>
      <c r="G71" s="27"/>
    </row>
    <row r="72" spans="1:7" x14ac:dyDescent="0.25">
      <c r="A72" s="45"/>
      <c r="B72" s="46" t="s">
        <v>154</v>
      </c>
      <c r="C72" s="31" t="s">
        <v>155</v>
      </c>
      <c r="D72" s="31" t="s">
        <v>21</v>
      </c>
      <c r="E72" s="32" t="s">
        <v>4</v>
      </c>
      <c r="F72" s="31"/>
      <c r="G72" s="27"/>
    </row>
    <row r="73" spans="1:7" ht="15.75" customHeight="1" x14ac:dyDescent="0.25">
      <c r="A73" s="45"/>
      <c r="B73" s="35" t="s">
        <v>156</v>
      </c>
      <c r="C73" s="35"/>
      <c r="D73" s="35"/>
      <c r="E73" s="35"/>
      <c r="F73" s="36"/>
      <c r="G73" s="27"/>
    </row>
    <row r="74" spans="1:7" ht="31.5" customHeight="1" x14ac:dyDescent="0.25">
      <c r="A74" s="45"/>
      <c r="B74" s="46" t="s">
        <v>157</v>
      </c>
      <c r="C74" s="31" t="s">
        <v>158</v>
      </c>
      <c r="D74" s="31" t="s">
        <v>21</v>
      </c>
      <c r="E74" s="32" t="s">
        <v>4</v>
      </c>
      <c r="F74" s="31"/>
      <c r="G74" s="27"/>
    </row>
    <row r="75" spans="1:7" ht="31.5" x14ac:dyDescent="0.25">
      <c r="A75" s="45"/>
      <c r="B75" s="46" t="s">
        <v>159</v>
      </c>
      <c r="C75" s="55" t="s">
        <v>160</v>
      </c>
      <c r="D75" s="31" t="s">
        <v>21</v>
      </c>
      <c r="E75" s="32" t="s">
        <v>4</v>
      </c>
      <c r="F75" s="31"/>
      <c r="G75" s="27"/>
    </row>
    <row r="76" spans="1:7" ht="16.5" customHeight="1" x14ac:dyDescent="0.25">
      <c r="A76" s="45"/>
      <c r="B76" s="46" t="s">
        <v>161</v>
      </c>
      <c r="C76" s="55" t="s">
        <v>162</v>
      </c>
      <c r="D76" s="31" t="s">
        <v>100</v>
      </c>
      <c r="E76" s="32" t="s">
        <v>4</v>
      </c>
      <c r="F76" s="31"/>
      <c r="G76" s="27"/>
    </row>
    <row r="77" spans="1:7" ht="31.5" x14ac:dyDescent="0.25">
      <c r="A77" s="45"/>
      <c r="B77" s="46" t="s">
        <v>163</v>
      </c>
      <c r="C77" s="55" t="s">
        <v>164</v>
      </c>
      <c r="D77" s="31" t="s">
        <v>82</v>
      </c>
      <c r="E77" s="32" t="s">
        <v>4</v>
      </c>
      <c r="F77" s="31"/>
      <c r="G77" s="27"/>
    </row>
    <row r="78" spans="1:7" x14ac:dyDescent="0.25">
      <c r="A78" s="45"/>
      <c r="B78" s="46" t="s">
        <v>165</v>
      </c>
      <c r="C78" s="55" t="s">
        <v>166</v>
      </c>
      <c r="D78" s="31" t="s">
        <v>21</v>
      </c>
      <c r="E78" s="32" t="s">
        <v>4</v>
      </c>
      <c r="F78" s="31"/>
      <c r="G78" s="27"/>
    </row>
    <row r="79" spans="1:7" ht="15.75" customHeight="1" x14ac:dyDescent="0.25">
      <c r="A79" s="45"/>
      <c r="B79" s="35" t="s">
        <v>167</v>
      </c>
      <c r="C79" s="35"/>
      <c r="D79" s="35"/>
      <c r="E79" s="35"/>
      <c r="F79" s="36"/>
      <c r="G79" s="27"/>
    </row>
    <row r="80" spans="1:7" ht="31.5" x14ac:dyDescent="0.25">
      <c r="A80" s="45"/>
      <c r="B80" s="46" t="s">
        <v>168</v>
      </c>
      <c r="C80" s="31" t="s">
        <v>169</v>
      </c>
      <c r="D80" s="31" t="s">
        <v>100</v>
      </c>
      <c r="E80" s="32" t="s">
        <v>4</v>
      </c>
      <c r="F80" s="31"/>
      <c r="G80" s="27"/>
    </row>
    <row r="81" spans="1:7" ht="31.5" x14ac:dyDescent="0.25">
      <c r="A81" s="45"/>
      <c r="B81" s="46" t="s">
        <v>170</v>
      </c>
      <c r="C81" s="31" t="s">
        <v>171</v>
      </c>
      <c r="D81" s="31" t="s">
        <v>27</v>
      </c>
      <c r="E81" s="32" t="s">
        <v>4</v>
      </c>
      <c r="F81" s="31"/>
      <c r="G81" s="27"/>
    </row>
    <row r="82" spans="1:7" ht="31.5" x14ac:dyDescent="0.25">
      <c r="A82" s="45"/>
      <c r="B82" s="46" t="s">
        <v>172</v>
      </c>
      <c r="C82" s="31" t="s">
        <v>173</v>
      </c>
      <c r="D82" s="31" t="s">
        <v>100</v>
      </c>
      <c r="E82" s="32" t="s">
        <v>4</v>
      </c>
      <c r="F82" s="31"/>
      <c r="G82" s="27"/>
    </row>
    <row r="83" spans="1:7" ht="15.75" customHeight="1" x14ac:dyDescent="0.25">
      <c r="A83" s="45"/>
      <c r="B83" s="35" t="s">
        <v>174</v>
      </c>
      <c r="C83" s="35"/>
      <c r="D83" s="35"/>
      <c r="E83" s="35"/>
      <c r="F83" s="36"/>
      <c r="G83" s="27"/>
    </row>
    <row r="84" spans="1:7" ht="35.25" customHeight="1" x14ac:dyDescent="0.25">
      <c r="A84" s="45"/>
      <c r="B84" s="46" t="s">
        <v>175</v>
      </c>
      <c r="C84" s="31" t="s">
        <v>176</v>
      </c>
      <c r="D84" s="31" t="s">
        <v>21</v>
      </c>
      <c r="E84" s="32" t="s">
        <v>4</v>
      </c>
      <c r="F84" s="31"/>
      <c r="G84" s="27"/>
    </row>
    <row r="85" spans="1:7" ht="15.75" customHeight="1" x14ac:dyDescent="0.25">
      <c r="A85" s="45"/>
      <c r="B85" s="35" t="s">
        <v>177</v>
      </c>
      <c r="C85" s="35"/>
      <c r="D85" s="35"/>
      <c r="E85" s="35"/>
      <c r="F85" s="36"/>
      <c r="G85" s="27"/>
    </row>
    <row r="86" spans="1:7" ht="31.5" customHeight="1" x14ac:dyDescent="0.25">
      <c r="A86" s="45"/>
      <c r="B86" s="46" t="s">
        <v>178</v>
      </c>
      <c r="C86" s="31" t="s">
        <v>179</v>
      </c>
      <c r="D86" s="31" t="s">
        <v>21</v>
      </c>
      <c r="E86" s="32" t="s">
        <v>4</v>
      </c>
      <c r="F86" s="31"/>
      <c r="G86" s="27"/>
    </row>
    <row r="87" spans="1:7" ht="15.75" customHeight="1" x14ac:dyDescent="0.25">
      <c r="A87" s="45"/>
      <c r="B87" s="35" t="s">
        <v>180</v>
      </c>
      <c r="C87" s="35"/>
      <c r="D87" s="35"/>
      <c r="E87" s="35"/>
      <c r="F87" s="36"/>
      <c r="G87" s="27"/>
    </row>
    <row r="88" spans="1:7" x14ac:dyDescent="0.25">
      <c r="A88" s="45"/>
      <c r="B88" s="46" t="s">
        <v>181</v>
      </c>
      <c r="C88" s="31" t="s">
        <v>182</v>
      </c>
      <c r="D88" s="31" t="s">
        <v>21</v>
      </c>
      <c r="E88" s="32" t="s">
        <v>4</v>
      </c>
      <c r="F88" s="31"/>
      <c r="G88" s="27"/>
    </row>
    <row r="89" spans="1:7" ht="15.75" customHeight="1" x14ac:dyDescent="0.25">
      <c r="A89" s="45"/>
      <c r="B89" s="35" t="s">
        <v>183</v>
      </c>
      <c r="C89" s="35"/>
      <c r="D89" s="35"/>
      <c r="E89" s="35"/>
      <c r="F89" s="36"/>
      <c r="G89" s="27"/>
    </row>
    <row r="90" spans="1:7" x14ac:dyDescent="0.25">
      <c r="A90" s="45"/>
      <c r="B90" s="46" t="s">
        <v>184</v>
      </c>
      <c r="C90" s="31" t="s">
        <v>185</v>
      </c>
      <c r="D90" s="31" t="s">
        <v>21</v>
      </c>
      <c r="E90" s="32" t="s">
        <v>4</v>
      </c>
      <c r="F90" s="31"/>
      <c r="G90" s="27"/>
    </row>
    <row r="91" spans="1:7" ht="31.5" x14ac:dyDescent="0.25">
      <c r="A91" s="45"/>
      <c r="B91" s="46" t="s">
        <v>186</v>
      </c>
      <c r="C91" s="31" t="s">
        <v>187</v>
      </c>
      <c r="D91" s="31" t="s">
        <v>21</v>
      </c>
      <c r="E91" s="32" t="s">
        <v>4</v>
      </c>
      <c r="F91" s="31"/>
      <c r="G91" s="27"/>
    </row>
    <row r="92" spans="1:7" x14ac:dyDescent="0.25">
      <c r="A92" s="45"/>
      <c r="B92" s="46" t="s">
        <v>188</v>
      </c>
      <c r="C92" s="31" t="s">
        <v>189</v>
      </c>
      <c r="D92" s="31" t="s">
        <v>21</v>
      </c>
      <c r="E92" s="32" t="s">
        <v>4</v>
      </c>
      <c r="F92" s="31"/>
      <c r="G92" s="27"/>
    </row>
    <row r="93" spans="1:7" x14ac:dyDescent="0.25">
      <c r="A93" s="45"/>
      <c r="B93" s="46" t="s">
        <v>190</v>
      </c>
      <c r="C93" s="31" t="s">
        <v>191</v>
      </c>
      <c r="D93" s="31" t="s">
        <v>21</v>
      </c>
      <c r="E93" s="32" t="s">
        <v>4</v>
      </c>
      <c r="F93" s="31"/>
      <c r="G93" s="27"/>
    </row>
    <row r="94" spans="1:7" x14ac:dyDescent="0.25">
      <c r="A94" s="45"/>
      <c r="B94" s="46" t="s">
        <v>192</v>
      </c>
      <c r="C94" s="31" t="s">
        <v>193</v>
      </c>
      <c r="D94" s="31" t="s">
        <v>21</v>
      </c>
      <c r="E94" s="32" t="s">
        <v>4</v>
      </c>
      <c r="F94" s="31"/>
      <c r="G94" s="27"/>
    </row>
    <row r="95" spans="1:7" x14ac:dyDescent="0.25">
      <c r="A95" s="48"/>
      <c r="B95" s="49" t="s">
        <v>194</v>
      </c>
      <c r="C95" s="39" t="s">
        <v>195</v>
      </c>
      <c r="D95" s="39" t="s">
        <v>21</v>
      </c>
      <c r="E95" s="40" t="s">
        <v>4</v>
      </c>
      <c r="F95" s="39"/>
      <c r="G95" s="27"/>
    </row>
    <row r="96" spans="1:7" ht="31.5" x14ac:dyDescent="0.25">
      <c r="A96" s="45" t="s">
        <v>196</v>
      </c>
      <c r="B96" s="54" t="s">
        <v>197</v>
      </c>
      <c r="C96" s="43" t="s">
        <v>198</v>
      </c>
      <c r="D96" s="43" t="s">
        <v>21</v>
      </c>
      <c r="E96" s="44" t="s">
        <v>4</v>
      </c>
      <c r="F96" s="43"/>
      <c r="G96" s="27"/>
    </row>
    <row r="97" spans="1:7" ht="15.75" customHeight="1" x14ac:dyDescent="0.25">
      <c r="A97" s="45"/>
      <c r="B97" s="35" t="s">
        <v>199</v>
      </c>
      <c r="C97" s="35"/>
      <c r="D97" s="35"/>
      <c r="E97" s="35"/>
      <c r="F97" s="36"/>
      <c r="G97" s="27"/>
    </row>
    <row r="98" spans="1:7" ht="31.5" x14ac:dyDescent="0.25">
      <c r="A98" s="45"/>
      <c r="B98" s="46" t="s">
        <v>200</v>
      </c>
      <c r="C98" s="31" t="s">
        <v>201</v>
      </c>
      <c r="D98" s="31" t="s">
        <v>21</v>
      </c>
      <c r="E98" s="32" t="s">
        <v>4</v>
      </c>
      <c r="F98" s="31"/>
      <c r="G98" s="27"/>
    </row>
    <row r="99" spans="1:7" ht="15.75" customHeight="1" x14ac:dyDescent="0.25">
      <c r="A99" s="45"/>
      <c r="B99" s="35" t="s">
        <v>202</v>
      </c>
      <c r="C99" s="35"/>
      <c r="D99" s="35"/>
      <c r="E99" s="35"/>
      <c r="F99" s="36"/>
      <c r="G99" s="27"/>
    </row>
    <row r="100" spans="1:7" x14ac:dyDescent="0.25">
      <c r="A100" s="45"/>
      <c r="B100" s="46" t="s">
        <v>203</v>
      </c>
      <c r="C100" s="31" t="s">
        <v>204</v>
      </c>
      <c r="D100" s="31" t="s">
        <v>21</v>
      </c>
      <c r="E100" s="32" t="s">
        <v>4</v>
      </c>
      <c r="F100" s="31"/>
      <c r="G100" s="27"/>
    </row>
    <row r="101" spans="1:7" ht="31.5" x14ac:dyDescent="0.25">
      <c r="A101" s="45"/>
      <c r="B101" s="46" t="s">
        <v>205</v>
      </c>
      <c r="C101" s="31" t="s">
        <v>206</v>
      </c>
      <c r="D101" s="31" t="s">
        <v>27</v>
      </c>
      <c r="E101" s="32" t="s">
        <v>4</v>
      </c>
      <c r="F101" s="31"/>
      <c r="G101" s="27"/>
    </row>
    <row r="102" spans="1:7" x14ac:dyDescent="0.25">
      <c r="A102" s="45"/>
      <c r="B102" s="46" t="s">
        <v>207</v>
      </c>
      <c r="C102" s="31" t="s">
        <v>208</v>
      </c>
      <c r="D102" s="31" t="s">
        <v>27</v>
      </c>
      <c r="E102" s="32" t="s">
        <v>4</v>
      </c>
      <c r="F102" s="31"/>
      <c r="G102" s="27"/>
    </row>
    <row r="103" spans="1:7" x14ac:dyDescent="0.25">
      <c r="A103" s="48"/>
      <c r="B103" s="49" t="s">
        <v>209</v>
      </c>
      <c r="C103" s="38" t="s">
        <v>210</v>
      </c>
      <c r="D103" s="39" t="s">
        <v>21</v>
      </c>
      <c r="E103" s="40" t="s">
        <v>4</v>
      </c>
      <c r="F103" s="39"/>
      <c r="G103" s="27"/>
    </row>
    <row r="104" spans="1:7" x14ac:dyDescent="0.25">
      <c r="A104" s="56" t="s">
        <v>211</v>
      </c>
      <c r="B104" s="54" t="s">
        <v>212</v>
      </c>
      <c r="C104" s="42" t="s">
        <v>213</v>
      </c>
      <c r="D104" s="43" t="s">
        <v>21</v>
      </c>
      <c r="E104" s="44" t="s">
        <v>4</v>
      </c>
      <c r="F104" s="43"/>
      <c r="G104" s="27"/>
    </row>
    <row r="105" spans="1:7" ht="15.75" customHeight="1" x14ac:dyDescent="0.25">
      <c r="A105" s="45"/>
      <c r="B105" s="35" t="s">
        <v>214</v>
      </c>
      <c r="C105" s="35"/>
      <c r="D105" s="35"/>
      <c r="E105" s="35"/>
      <c r="F105" s="36"/>
      <c r="G105" s="27"/>
    </row>
    <row r="106" spans="1:7" ht="47.25" x14ac:dyDescent="0.25">
      <c r="A106" s="45"/>
      <c r="B106" s="46" t="s">
        <v>215</v>
      </c>
      <c r="C106" s="31" t="s">
        <v>216</v>
      </c>
      <c r="D106" s="31" t="s">
        <v>27</v>
      </c>
      <c r="E106" s="32" t="s">
        <v>4</v>
      </c>
      <c r="F106" s="31"/>
      <c r="G106" s="27"/>
    </row>
    <row r="107" spans="1:7" ht="110.25" x14ac:dyDescent="0.25">
      <c r="A107" s="45"/>
      <c r="B107" s="46" t="s">
        <v>217</v>
      </c>
      <c r="C107" s="31" t="s">
        <v>218</v>
      </c>
      <c r="D107" s="31" t="s">
        <v>21</v>
      </c>
      <c r="E107" s="32" t="s">
        <v>4</v>
      </c>
      <c r="F107" s="31"/>
      <c r="G107" s="27"/>
    </row>
    <row r="108" spans="1:7" ht="16.5" customHeight="1" x14ac:dyDescent="0.25">
      <c r="A108" s="45"/>
      <c r="B108" s="46" t="s">
        <v>219</v>
      </c>
      <c r="C108" s="30" t="s">
        <v>220</v>
      </c>
      <c r="D108" s="31" t="s">
        <v>100</v>
      </c>
      <c r="E108" s="32" t="s">
        <v>4</v>
      </c>
      <c r="F108" s="31"/>
      <c r="G108" s="27"/>
    </row>
    <row r="109" spans="1:7" ht="15.75" customHeight="1" x14ac:dyDescent="0.25">
      <c r="A109" s="45"/>
      <c r="B109" s="35" t="s">
        <v>221</v>
      </c>
      <c r="C109" s="35"/>
      <c r="D109" s="35"/>
      <c r="E109" s="35"/>
      <c r="F109" s="36"/>
      <c r="G109" s="27"/>
    </row>
    <row r="110" spans="1:7" ht="94.5" x14ac:dyDescent="0.25">
      <c r="A110" s="48"/>
      <c r="B110" s="49" t="s">
        <v>222</v>
      </c>
      <c r="C110" s="39" t="s">
        <v>223</v>
      </c>
      <c r="D110" s="39" t="s">
        <v>27</v>
      </c>
      <c r="E110" s="40" t="s">
        <v>4</v>
      </c>
      <c r="F110" s="39"/>
      <c r="G110" s="27"/>
    </row>
    <row r="111" spans="1:7" ht="15.75" customHeight="1" x14ac:dyDescent="0.25">
      <c r="A111" s="57" t="s">
        <v>224</v>
      </c>
      <c r="B111" s="58" t="s">
        <v>225</v>
      </c>
      <c r="C111" s="59"/>
      <c r="D111" s="59"/>
      <c r="E111" s="59"/>
      <c r="F111" s="60"/>
      <c r="G111" s="27"/>
    </row>
    <row r="112" spans="1:7" ht="31.5" x14ac:dyDescent="0.25">
      <c r="A112" s="61"/>
      <c r="B112" s="30" t="s">
        <v>226</v>
      </c>
      <c r="C112" s="31" t="s">
        <v>227</v>
      </c>
      <c r="D112" s="31" t="s">
        <v>21</v>
      </c>
      <c r="E112" s="32" t="s">
        <v>4</v>
      </c>
      <c r="F112" s="31"/>
    </row>
    <row r="113" spans="1:7" ht="31.5" x14ac:dyDescent="0.25">
      <c r="A113" s="61"/>
      <c r="B113" s="30" t="s">
        <v>228</v>
      </c>
      <c r="C113" s="31" t="s">
        <v>229</v>
      </c>
      <c r="D113" s="31" t="s">
        <v>21</v>
      </c>
      <c r="E113" s="32" t="s">
        <v>4</v>
      </c>
      <c r="F113" s="31"/>
    </row>
    <row r="114" spans="1:7" ht="31.5" x14ac:dyDescent="0.25">
      <c r="A114" s="62"/>
      <c r="B114" s="63" t="s">
        <v>230</v>
      </c>
      <c r="C114" s="64" t="s">
        <v>231</v>
      </c>
      <c r="D114" s="64" t="s">
        <v>21</v>
      </c>
      <c r="E114" s="65" t="s">
        <v>4</v>
      </c>
      <c r="F114" s="64"/>
      <c r="G114" s="27"/>
    </row>
    <row r="115" spans="1:7" ht="96.95" customHeight="1" x14ac:dyDescent="0.25">
      <c r="A115" s="80" t="s">
        <v>167</v>
      </c>
      <c r="B115" s="42" t="s">
        <v>232</v>
      </c>
      <c r="C115" s="43" t="s">
        <v>233</v>
      </c>
      <c r="D115" s="43" t="s">
        <v>27</v>
      </c>
      <c r="E115" s="44" t="s">
        <v>4</v>
      </c>
      <c r="F115" s="43"/>
      <c r="G115" s="27"/>
    </row>
    <row r="116" spans="1:7" ht="31.5" x14ac:dyDescent="0.25">
      <c r="A116" s="80"/>
      <c r="B116" s="63" t="s">
        <v>234</v>
      </c>
      <c r="C116" s="64" t="s">
        <v>235</v>
      </c>
      <c r="D116" s="64" t="s">
        <v>21</v>
      </c>
      <c r="E116" s="65" t="s">
        <v>4</v>
      </c>
      <c r="F116" s="64"/>
      <c r="G116" s="27"/>
    </row>
    <row r="117" spans="1:7" ht="15.75" customHeight="1" x14ac:dyDescent="0.25">
      <c r="A117" s="45" t="s">
        <v>236</v>
      </c>
      <c r="B117" s="51" t="s">
        <v>237</v>
      </c>
      <c r="C117" s="51"/>
      <c r="D117" s="51"/>
      <c r="E117" s="51"/>
      <c r="F117" s="52"/>
      <c r="G117" s="27"/>
    </row>
    <row r="118" spans="1:7" x14ac:dyDescent="0.25">
      <c r="A118" s="45"/>
      <c r="B118" s="46" t="s">
        <v>238</v>
      </c>
      <c r="C118" s="66" t="s">
        <v>239</v>
      </c>
      <c r="D118" s="47" t="s">
        <v>21</v>
      </c>
      <c r="E118" s="32" t="s">
        <v>4</v>
      </c>
      <c r="F118" s="31"/>
      <c r="G118" s="27"/>
    </row>
    <row r="119" spans="1:7" ht="31.5" x14ac:dyDescent="0.25">
      <c r="A119" s="45"/>
      <c r="B119" s="46" t="s">
        <v>240</v>
      </c>
      <c r="C119" s="66" t="s">
        <v>241</v>
      </c>
      <c r="D119" s="47" t="s">
        <v>21</v>
      </c>
      <c r="E119" s="32" t="s">
        <v>4</v>
      </c>
      <c r="F119" s="31"/>
      <c r="G119" s="27"/>
    </row>
    <row r="120" spans="1:7" ht="31.5" x14ac:dyDescent="0.25">
      <c r="A120" s="45"/>
      <c r="B120" s="46" t="s">
        <v>242</v>
      </c>
      <c r="C120" s="66" t="s">
        <v>243</v>
      </c>
      <c r="D120" s="47" t="s">
        <v>21</v>
      </c>
      <c r="E120" s="32" t="s">
        <v>4</v>
      </c>
      <c r="F120" s="31"/>
      <c r="G120" s="27"/>
    </row>
    <row r="121" spans="1:7" ht="15.75" customHeight="1" x14ac:dyDescent="0.25">
      <c r="A121" s="45"/>
      <c r="B121" s="35" t="s">
        <v>244</v>
      </c>
      <c r="C121" s="35"/>
      <c r="D121" s="35"/>
      <c r="E121" s="35"/>
      <c r="F121" s="36"/>
      <c r="G121" s="27"/>
    </row>
    <row r="122" spans="1:7" x14ac:dyDescent="0.25">
      <c r="A122" s="45"/>
      <c r="B122" s="46" t="s">
        <v>245</v>
      </c>
      <c r="C122" s="30" t="s">
        <v>246</v>
      </c>
      <c r="D122" s="47" t="s">
        <v>27</v>
      </c>
      <c r="E122" s="32" t="s">
        <v>4</v>
      </c>
      <c r="F122" s="31"/>
      <c r="G122" s="27"/>
    </row>
    <row r="123" spans="1:7" ht="31.5" x14ac:dyDescent="0.25">
      <c r="A123" s="45"/>
      <c r="B123" s="46" t="s">
        <v>247</v>
      </c>
      <c r="C123" s="31" t="s">
        <v>248</v>
      </c>
      <c r="D123" s="31" t="s">
        <v>21</v>
      </c>
      <c r="E123" s="32" t="s">
        <v>4</v>
      </c>
      <c r="F123" s="31"/>
      <c r="G123" s="27"/>
    </row>
    <row r="124" spans="1:7" ht="15.75" customHeight="1" x14ac:dyDescent="0.25">
      <c r="A124" s="45"/>
      <c r="B124" s="35" t="s">
        <v>249</v>
      </c>
      <c r="C124" s="35"/>
      <c r="D124" s="35"/>
      <c r="E124" s="35"/>
      <c r="F124" s="36"/>
      <c r="G124" s="27"/>
    </row>
    <row r="125" spans="1:7" ht="16.5" customHeight="1" x14ac:dyDescent="0.25">
      <c r="A125" s="45"/>
      <c r="B125" s="46" t="s">
        <v>250</v>
      </c>
      <c r="C125" s="31" t="s">
        <v>251</v>
      </c>
      <c r="D125" s="31" t="s">
        <v>27</v>
      </c>
      <c r="E125" s="32" t="s">
        <v>4</v>
      </c>
      <c r="F125" s="31"/>
      <c r="G125" s="27"/>
    </row>
    <row r="126" spans="1:7" ht="141.75" x14ac:dyDescent="0.25">
      <c r="A126" s="45"/>
      <c r="B126" s="46" t="s">
        <v>252</v>
      </c>
      <c r="C126" s="31" t="s">
        <v>253</v>
      </c>
      <c r="D126" s="31" t="s">
        <v>27</v>
      </c>
      <c r="E126" s="32" t="s">
        <v>4</v>
      </c>
      <c r="F126" s="31"/>
      <c r="G126" s="27"/>
    </row>
    <row r="127" spans="1:7" ht="15.75" customHeight="1" x14ac:dyDescent="0.25">
      <c r="A127" s="45"/>
      <c r="B127" s="35" t="s">
        <v>254</v>
      </c>
      <c r="C127" s="35"/>
      <c r="D127" s="35"/>
      <c r="E127" s="35"/>
      <c r="F127" s="36"/>
      <c r="G127" s="27"/>
    </row>
    <row r="128" spans="1:7" x14ac:dyDescent="0.25">
      <c r="A128" s="45"/>
      <c r="B128" s="46" t="s">
        <v>255</v>
      </c>
      <c r="C128" s="31" t="s">
        <v>256</v>
      </c>
      <c r="D128" s="31" t="s">
        <v>21</v>
      </c>
      <c r="E128" s="32" t="s">
        <v>4</v>
      </c>
      <c r="F128" s="31"/>
      <c r="G128" s="27"/>
    </row>
    <row r="129" spans="1:7" ht="142.5" customHeight="1" x14ac:dyDescent="0.25">
      <c r="A129" s="45"/>
      <c r="B129" s="46" t="s">
        <v>257</v>
      </c>
      <c r="C129" s="31" t="s">
        <v>258</v>
      </c>
      <c r="D129" s="47" t="s">
        <v>21</v>
      </c>
      <c r="E129" s="32" t="s">
        <v>4</v>
      </c>
      <c r="F129" s="31"/>
      <c r="G129" s="27"/>
    </row>
    <row r="130" spans="1:7" ht="15.75" customHeight="1" x14ac:dyDescent="0.25">
      <c r="A130" s="45"/>
      <c r="B130" s="35" t="s">
        <v>259</v>
      </c>
      <c r="C130" s="35"/>
      <c r="D130" s="35"/>
      <c r="E130" s="35"/>
      <c r="F130" s="36"/>
      <c r="G130" s="27"/>
    </row>
    <row r="131" spans="1:7" ht="126" x14ac:dyDescent="0.25">
      <c r="A131" s="45"/>
      <c r="B131" s="46" t="s">
        <v>260</v>
      </c>
      <c r="C131" s="31" t="s">
        <v>261</v>
      </c>
      <c r="D131" s="31" t="s">
        <v>21</v>
      </c>
      <c r="E131" s="32" t="s">
        <v>4</v>
      </c>
      <c r="F131" s="31"/>
      <c r="G131" s="27"/>
    </row>
    <row r="132" spans="1:7" ht="15.75" customHeight="1" x14ac:dyDescent="0.25">
      <c r="A132" s="45"/>
      <c r="B132" s="35" t="s">
        <v>262</v>
      </c>
      <c r="C132" s="67"/>
      <c r="D132" s="35"/>
      <c r="E132" s="35"/>
      <c r="F132" s="36"/>
      <c r="G132" s="27"/>
    </row>
    <row r="133" spans="1:7" ht="31.5" x14ac:dyDescent="0.25">
      <c r="A133" s="45"/>
      <c r="B133" s="46" t="s">
        <v>263</v>
      </c>
      <c r="C133" s="31" t="s">
        <v>264</v>
      </c>
      <c r="D133" s="31" t="s">
        <v>27</v>
      </c>
      <c r="E133" s="32" t="s">
        <v>4</v>
      </c>
      <c r="F133" s="31"/>
      <c r="G133" s="27"/>
    </row>
    <row r="134" spans="1:7" ht="31.5" x14ac:dyDescent="0.25">
      <c r="A134" s="45"/>
      <c r="B134" s="46" t="s">
        <v>265</v>
      </c>
      <c r="C134" s="31" t="s">
        <v>266</v>
      </c>
      <c r="D134" s="31" t="s">
        <v>27</v>
      </c>
      <c r="E134" s="32" t="s">
        <v>4</v>
      </c>
      <c r="F134" s="31"/>
      <c r="G134" s="27"/>
    </row>
    <row r="135" spans="1:7" ht="47.25" x14ac:dyDescent="0.25">
      <c r="A135" s="45"/>
      <c r="B135" s="46" t="s">
        <v>267</v>
      </c>
      <c r="C135" s="31" t="s">
        <v>268</v>
      </c>
      <c r="D135" s="31" t="s">
        <v>27</v>
      </c>
      <c r="E135" s="32" t="s">
        <v>4</v>
      </c>
      <c r="F135" s="31"/>
      <c r="G135" s="27"/>
    </row>
    <row r="136" spans="1:7" x14ac:dyDescent="0.25">
      <c r="A136" s="45"/>
      <c r="B136" s="46" t="s">
        <v>269</v>
      </c>
      <c r="C136" s="31" t="s">
        <v>270</v>
      </c>
      <c r="D136" s="31" t="s">
        <v>27</v>
      </c>
      <c r="E136" s="32" t="s">
        <v>4</v>
      </c>
      <c r="F136" s="31"/>
      <c r="G136" s="27"/>
    </row>
    <row r="137" spans="1:7" ht="31.5" x14ac:dyDescent="0.25">
      <c r="A137" s="45"/>
      <c r="B137" s="46" t="s">
        <v>271</v>
      </c>
      <c r="C137" s="31" t="s">
        <v>272</v>
      </c>
      <c r="D137" s="31" t="s">
        <v>100</v>
      </c>
      <c r="E137" s="32" t="s">
        <v>4</v>
      </c>
      <c r="F137" s="31"/>
      <c r="G137" s="27"/>
    </row>
    <row r="138" spans="1:7" ht="31.5" x14ac:dyDescent="0.25">
      <c r="A138" s="45"/>
      <c r="B138" s="46" t="s">
        <v>273</v>
      </c>
      <c r="C138" s="31" t="s">
        <v>274</v>
      </c>
      <c r="D138" s="31" t="s">
        <v>21</v>
      </c>
      <c r="E138" s="32" t="s">
        <v>4</v>
      </c>
      <c r="F138" s="31"/>
      <c r="G138" s="27"/>
    </row>
    <row r="139" spans="1:7" ht="31.5" x14ac:dyDescent="0.25">
      <c r="A139" s="45"/>
      <c r="B139" s="46" t="s">
        <v>275</v>
      </c>
      <c r="C139" s="31" t="s">
        <v>276</v>
      </c>
      <c r="D139" s="31" t="s">
        <v>21</v>
      </c>
      <c r="E139" s="32" t="s">
        <v>4</v>
      </c>
      <c r="F139" s="31"/>
      <c r="G139" s="27"/>
    </row>
    <row r="140" spans="1:7" ht="31.5" x14ac:dyDescent="0.25">
      <c r="A140" s="45"/>
      <c r="B140" s="46" t="s">
        <v>277</v>
      </c>
      <c r="C140" s="66" t="s">
        <v>278</v>
      </c>
      <c r="D140" s="31" t="s">
        <v>27</v>
      </c>
      <c r="E140" s="32" t="s">
        <v>4</v>
      </c>
      <c r="F140" s="31"/>
      <c r="G140" s="27"/>
    </row>
    <row r="141" spans="1:7" ht="31.5" x14ac:dyDescent="0.25">
      <c r="A141" s="48"/>
      <c r="B141" s="49" t="s">
        <v>279</v>
      </c>
      <c r="C141" s="68" t="s">
        <v>280</v>
      </c>
      <c r="D141" s="39" t="s">
        <v>21</v>
      </c>
      <c r="E141" s="40" t="s">
        <v>4</v>
      </c>
      <c r="F141" s="39"/>
      <c r="G141" s="27"/>
    </row>
    <row r="142" spans="1:7" ht="31.5" x14ac:dyDescent="0.25">
      <c r="A142" s="69" t="s">
        <v>281</v>
      </c>
      <c r="B142" s="30" t="s">
        <v>282</v>
      </c>
      <c r="C142" s="31" t="s">
        <v>283</v>
      </c>
      <c r="D142" s="31" t="s">
        <v>27</v>
      </c>
      <c r="E142" s="32" t="s">
        <v>4</v>
      </c>
      <c r="F142" s="31"/>
      <c r="G142" s="27"/>
    </row>
    <row r="143" spans="1:7" ht="47.25" x14ac:dyDescent="0.25">
      <c r="A143" s="69"/>
      <c r="B143" s="30" t="s">
        <v>284</v>
      </c>
      <c r="C143" s="31" t="s">
        <v>285</v>
      </c>
      <c r="D143" s="31" t="s">
        <v>27</v>
      </c>
      <c r="E143" s="32" t="s">
        <v>4</v>
      </c>
      <c r="F143" s="31"/>
      <c r="G143" s="27"/>
    </row>
    <row r="144" spans="1:7" ht="31.5" x14ac:dyDescent="0.25">
      <c r="A144" s="69"/>
      <c r="B144" s="30" t="s">
        <v>286</v>
      </c>
      <c r="C144" s="31" t="s">
        <v>287</v>
      </c>
      <c r="D144" s="31" t="s">
        <v>27</v>
      </c>
      <c r="E144" s="32" t="s">
        <v>4</v>
      </c>
      <c r="F144" s="31"/>
      <c r="G144" s="27"/>
    </row>
    <row r="145" spans="1:7" x14ac:dyDescent="0.25">
      <c r="A145" s="69"/>
      <c r="B145" s="30" t="s">
        <v>288</v>
      </c>
      <c r="C145" s="31" t="s">
        <v>289</v>
      </c>
      <c r="D145" s="31" t="s">
        <v>21</v>
      </c>
      <c r="E145" s="32" t="s">
        <v>4</v>
      </c>
      <c r="F145" s="31"/>
      <c r="G145" s="27"/>
    </row>
    <row r="146" spans="1:7" ht="31.5" x14ac:dyDescent="0.25">
      <c r="A146" s="69"/>
      <c r="B146" s="30" t="s">
        <v>290</v>
      </c>
      <c r="C146" s="31" t="s">
        <v>291</v>
      </c>
      <c r="D146" s="31" t="s">
        <v>21</v>
      </c>
      <c r="E146" s="32" t="s">
        <v>4</v>
      </c>
      <c r="F146" s="31"/>
      <c r="G146" s="27"/>
    </row>
    <row r="147" spans="1:7" ht="47.25" x14ac:dyDescent="0.25">
      <c r="A147" s="48"/>
      <c r="B147" s="49" t="s">
        <v>292</v>
      </c>
      <c r="C147" s="68" t="s">
        <v>293</v>
      </c>
      <c r="D147" s="39" t="s">
        <v>100</v>
      </c>
      <c r="E147" s="40" t="s">
        <v>4</v>
      </c>
      <c r="F147" s="39"/>
      <c r="G147" s="27"/>
    </row>
    <row r="148" spans="1:7" ht="37.35" customHeight="1" x14ac:dyDescent="0.25">
      <c r="A148" s="81" t="s">
        <v>294</v>
      </c>
      <c r="B148" s="42" t="s">
        <v>295</v>
      </c>
      <c r="C148" s="43" t="s">
        <v>296</v>
      </c>
      <c r="D148" s="43" t="s">
        <v>27</v>
      </c>
      <c r="E148" s="44" t="s">
        <v>4</v>
      </c>
      <c r="F148" s="43"/>
      <c r="G148" s="27"/>
    </row>
    <row r="149" spans="1:7" ht="47.25" x14ac:dyDescent="0.25">
      <c r="A149" s="81"/>
      <c r="B149" s="30" t="s">
        <v>297</v>
      </c>
      <c r="C149" s="31" t="s">
        <v>298</v>
      </c>
      <c r="D149" s="31" t="s">
        <v>21</v>
      </c>
      <c r="E149" s="32" t="s">
        <v>4</v>
      </c>
      <c r="F149" s="31"/>
      <c r="G149" s="27"/>
    </row>
    <row r="150" spans="1:7" ht="47.25" x14ac:dyDescent="0.25">
      <c r="A150" s="81"/>
      <c r="B150" s="30" t="s">
        <v>299</v>
      </c>
      <c r="C150" s="31" t="s">
        <v>300</v>
      </c>
      <c r="D150" s="31" t="s">
        <v>27</v>
      </c>
      <c r="E150" s="32" t="s">
        <v>4</v>
      </c>
      <c r="F150" s="31"/>
      <c r="G150" s="27"/>
    </row>
    <row r="151" spans="1:7" ht="47.25" x14ac:dyDescent="0.25">
      <c r="A151" s="81"/>
      <c r="B151" s="30" t="s">
        <v>301</v>
      </c>
      <c r="C151" s="31" t="s">
        <v>302</v>
      </c>
      <c r="D151" s="31" t="s">
        <v>27</v>
      </c>
      <c r="E151" s="32" t="s">
        <v>4</v>
      </c>
      <c r="F151" s="31"/>
      <c r="G151" s="27"/>
    </row>
    <row r="152" spans="1:7" ht="63" x14ac:dyDescent="0.25">
      <c r="A152" s="81"/>
      <c r="B152" s="30" t="s">
        <v>303</v>
      </c>
      <c r="C152" s="31" t="s">
        <v>304</v>
      </c>
      <c r="D152" s="31" t="s">
        <v>27</v>
      </c>
      <c r="E152" s="32" t="s">
        <v>4</v>
      </c>
      <c r="F152" s="31"/>
      <c r="G152" s="27"/>
    </row>
    <row r="153" spans="1:7" ht="47.25" x14ac:dyDescent="0.25">
      <c r="A153" s="81"/>
      <c r="B153" s="38" t="s">
        <v>305</v>
      </c>
      <c r="C153" s="39" t="s">
        <v>306</v>
      </c>
      <c r="D153" s="39" t="s">
        <v>21</v>
      </c>
      <c r="E153" s="40" t="s">
        <v>4</v>
      </c>
      <c r="F153" s="39"/>
      <c r="G153" s="27"/>
    </row>
    <row r="154" spans="1:7" ht="31.5" x14ac:dyDescent="0.25">
      <c r="A154" s="45" t="s">
        <v>307</v>
      </c>
      <c r="B154" s="54" t="s">
        <v>308</v>
      </c>
      <c r="C154" s="43" t="s">
        <v>309</v>
      </c>
      <c r="D154" s="43" t="s">
        <v>27</v>
      </c>
      <c r="E154" s="44" t="s">
        <v>4</v>
      </c>
      <c r="F154" s="43"/>
      <c r="G154" s="27"/>
    </row>
    <row r="155" spans="1:7" ht="15.75" customHeight="1" x14ac:dyDescent="0.25">
      <c r="A155" s="45"/>
      <c r="B155" s="35" t="s">
        <v>310</v>
      </c>
      <c r="C155" s="35"/>
      <c r="D155" s="35"/>
      <c r="E155" s="35"/>
      <c r="F155" s="36"/>
      <c r="G155" s="27"/>
    </row>
    <row r="156" spans="1:7" ht="16.5" customHeight="1" x14ac:dyDescent="0.25">
      <c r="A156" s="45"/>
      <c r="B156" s="46" t="s">
        <v>311</v>
      </c>
      <c r="C156" s="31" t="s">
        <v>312</v>
      </c>
      <c r="D156" s="31" t="s">
        <v>100</v>
      </c>
      <c r="E156" s="32" t="s">
        <v>4</v>
      </c>
      <c r="F156" s="31"/>
      <c r="G156" s="27"/>
    </row>
    <row r="157" spans="1:7" ht="31.5" x14ac:dyDescent="0.25">
      <c r="A157" s="45"/>
      <c r="B157" s="46" t="s">
        <v>313</v>
      </c>
      <c r="C157" s="31" t="s">
        <v>314</v>
      </c>
      <c r="D157" s="31" t="s">
        <v>21</v>
      </c>
      <c r="E157" s="32" t="s">
        <v>4</v>
      </c>
      <c r="F157" s="31"/>
      <c r="G157" s="27"/>
    </row>
    <row r="158" spans="1:7" x14ac:dyDescent="0.25">
      <c r="A158" s="45"/>
      <c r="B158" s="46" t="s">
        <v>315</v>
      </c>
      <c r="C158" s="31" t="s">
        <v>316</v>
      </c>
      <c r="D158" s="31" t="s">
        <v>21</v>
      </c>
      <c r="E158" s="32" t="s">
        <v>4</v>
      </c>
      <c r="F158" s="31"/>
      <c r="G158" s="27"/>
    </row>
    <row r="159" spans="1:7" x14ac:dyDescent="0.25">
      <c r="A159" s="45"/>
      <c r="B159" s="46" t="s">
        <v>317</v>
      </c>
      <c r="C159" s="31" t="s">
        <v>318</v>
      </c>
      <c r="D159" s="31" t="s">
        <v>27</v>
      </c>
      <c r="E159" s="32" t="s">
        <v>4</v>
      </c>
      <c r="F159" s="31"/>
      <c r="G159" s="27"/>
    </row>
    <row r="160" spans="1:7" ht="15.75" customHeight="1" x14ac:dyDescent="0.25">
      <c r="A160" s="45"/>
      <c r="B160" s="35" t="s">
        <v>319</v>
      </c>
      <c r="C160" s="35"/>
      <c r="D160" s="35"/>
      <c r="E160" s="35"/>
      <c r="F160" s="36"/>
      <c r="G160" s="27"/>
    </row>
    <row r="161" spans="1:7" ht="31.5" x14ac:dyDescent="0.25">
      <c r="A161" s="45"/>
      <c r="B161" s="46" t="s">
        <v>320</v>
      </c>
      <c r="C161" s="31" t="s">
        <v>321</v>
      </c>
      <c r="D161" s="31" t="s">
        <v>21</v>
      </c>
      <c r="E161" s="32" t="s">
        <v>4</v>
      </c>
      <c r="F161" s="31"/>
      <c r="G161" s="27"/>
    </row>
    <row r="162" spans="1:7" ht="15.75" customHeight="1" x14ac:dyDescent="0.25">
      <c r="A162" s="45"/>
      <c r="B162" s="35" t="s">
        <v>322</v>
      </c>
      <c r="C162" s="35"/>
      <c r="D162" s="35"/>
      <c r="E162" s="35"/>
      <c r="F162" s="36"/>
      <c r="G162" s="27"/>
    </row>
    <row r="163" spans="1:7" x14ac:dyDescent="0.25">
      <c r="A163" s="45"/>
      <c r="B163" s="46" t="s">
        <v>323</v>
      </c>
      <c r="C163" s="31" t="s">
        <v>324</v>
      </c>
      <c r="D163" s="31" t="s">
        <v>21</v>
      </c>
      <c r="E163" s="32" t="s">
        <v>4</v>
      </c>
      <c r="F163" s="31"/>
      <c r="G163" s="27"/>
    </row>
    <row r="164" spans="1:7" ht="15.75" customHeight="1" x14ac:dyDescent="0.25">
      <c r="A164" s="45"/>
      <c r="B164" s="35" t="s">
        <v>325</v>
      </c>
      <c r="C164" s="35"/>
      <c r="D164" s="35"/>
      <c r="E164" s="35"/>
      <c r="F164" s="36"/>
      <c r="G164" s="27"/>
    </row>
    <row r="165" spans="1:7" ht="31.5" x14ac:dyDescent="0.25">
      <c r="A165" s="45"/>
      <c r="B165" s="46" t="s">
        <v>326</v>
      </c>
      <c r="C165" s="31" t="s">
        <v>327</v>
      </c>
      <c r="D165" s="47" t="s">
        <v>27</v>
      </c>
      <c r="E165" s="32" t="s">
        <v>4</v>
      </c>
      <c r="F165" s="31"/>
      <c r="G165" s="27"/>
    </row>
    <row r="166" spans="1:7" x14ac:dyDescent="0.25">
      <c r="A166" s="45"/>
      <c r="B166" s="46" t="s">
        <v>328</v>
      </c>
      <c r="C166" s="31" t="s">
        <v>329</v>
      </c>
      <c r="D166" s="31" t="s">
        <v>27</v>
      </c>
      <c r="E166" s="32" t="s">
        <v>4</v>
      </c>
      <c r="F166" s="31"/>
      <c r="G166" s="27"/>
    </row>
    <row r="167" spans="1:7" ht="31.5" x14ac:dyDescent="0.25">
      <c r="A167" s="45"/>
      <c r="B167" s="46" t="s">
        <v>330</v>
      </c>
      <c r="C167" s="31" t="s">
        <v>331</v>
      </c>
      <c r="D167" s="31" t="s">
        <v>21</v>
      </c>
      <c r="E167" s="32" t="s">
        <v>4</v>
      </c>
      <c r="F167" s="31"/>
      <c r="G167" s="27"/>
    </row>
    <row r="168" spans="1:7" ht="15.75" customHeight="1" x14ac:dyDescent="0.25">
      <c r="A168" s="45"/>
      <c r="B168" s="35" t="s">
        <v>332</v>
      </c>
      <c r="C168" s="35"/>
      <c r="D168" s="35"/>
      <c r="E168" s="35"/>
      <c r="F168" s="36"/>
      <c r="G168" s="27"/>
    </row>
    <row r="169" spans="1:7" x14ac:dyDescent="0.25">
      <c r="A169" s="45"/>
      <c r="B169" s="46" t="s">
        <v>333</v>
      </c>
      <c r="C169" s="31" t="s">
        <v>334</v>
      </c>
      <c r="D169" s="31" t="s">
        <v>27</v>
      </c>
      <c r="E169" s="32" t="s">
        <v>4</v>
      </c>
      <c r="F169" s="31"/>
      <c r="G169" s="27"/>
    </row>
    <row r="170" spans="1:7" x14ac:dyDescent="0.25">
      <c r="A170" s="45"/>
      <c r="B170" s="46" t="s">
        <v>335</v>
      </c>
      <c r="C170" s="31" t="s">
        <v>336</v>
      </c>
      <c r="D170" s="31" t="s">
        <v>27</v>
      </c>
      <c r="E170" s="32" t="s">
        <v>4</v>
      </c>
      <c r="F170" s="31"/>
      <c r="G170" s="27"/>
    </row>
    <row r="171" spans="1:7" ht="31.5" x14ac:dyDescent="0.25">
      <c r="A171" s="45"/>
      <c r="B171" s="46" t="s">
        <v>337</v>
      </c>
      <c r="C171" s="31" t="s">
        <v>338</v>
      </c>
      <c r="D171" s="31" t="s">
        <v>27</v>
      </c>
      <c r="E171" s="32" t="s">
        <v>4</v>
      </c>
      <c r="F171" s="31"/>
      <c r="G171" s="27"/>
    </row>
    <row r="172" spans="1:7" ht="47.25" x14ac:dyDescent="0.25">
      <c r="A172" s="45"/>
      <c r="B172" s="46" t="s">
        <v>339</v>
      </c>
      <c r="C172" s="31" t="s">
        <v>340</v>
      </c>
      <c r="D172" s="31" t="s">
        <v>27</v>
      </c>
      <c r="E172" s="32" t="s">
        <v>4</v>
      </c>
      <c r="F172" s="31"/>
      <c r="G172" s="27"/>
    </row>
    <row r="173" spans="1:7" x14ac:dyDescent="0.25">
      <c r="A173" s="45"/>
      <c r="B173" s="46" t="s">
        <v>341</v>
      </c>
      <c r="C173" s="30" t="s">
        <v>342</v>
      </c>
      <c r="D173" s="31" t="s">
        <v>27</v>
      </c>
      <c r="E173" s="32" t="s">
        <v>4</v>
      </c>
      <c r="F173" s="31"/>
      <c r="G173" s="27"/>
    </row>
    <row r="174" spans="1:7" x14ac:dyDescent="0.25">
      <c r="A174" s="45"/>
      <c r="B174" s="46" t="s">
        <v>343</v>
      </c>
      <c r="C174" s="70" t="s">
        <v>344</v>
      </c>
      <c r="D174" s="31" t="s">
        <v>27</v>
      </c>
      <c r="E174" s="32" t="s">
        <v>4</v>
      </c>
      <c r="F174" s="31"/>
      <c r="G174" s="27"/>
    </row>
    <row r="175" spans="1:7" x14ac:dyDescent="0.25">
      <c r="A175" s="45"/>
      <c r="B175" s="71" t="s">
        <v>345</v>
      </c>
      <c r="C175" s="31" t="s">
        <v>346</v>
      </c>
      <c r="D175" s="31" t="s">
        <v>27</v>
      </c>
      <c r="E175" s="32" t="s">
        <v>4</v>
      </c>
      <c r="F175" s="72"/>
      <c r="G175" s="27"/>
    </row>
    <row r="176" spans="1:7" ht="15.75" customHeight="1" x14ac:dyDescent="0.25">
      <c r="A176" s="45"/>
      <c r="B176" s="35" t="s">
        <v>347</v>
      </c>
      <c r="C176" s="35"/>
      <c r="D176" s="35"/>
      <c r="E176" s="35"/>
      <c r="F176" s="36"/>
      <c r="G176" s="27"/>
    </row>
    <row r="177" spans="1:7" ht="31.5" x14ac:dyDescent="0.25">
      <c r="A177" s="45"/>
      <c r="B177" s="46" t="s">
        <v>348</v>
      </c>
      <c r="C177" s="31" t="s">
        <v>349</v>
      </c>
      <c r="D177" s="31" t="s">
        <v>27</v>
      </c>
      <c r="E177" s="32" t="s">
        <v>4</v>
      </c>
      <c r="F177" s="31"/>
      <c r="G177" s="27"/>
    </row>
    <row r="178" spans="1:7" ht="31.5" x14ac:dyDescent="0.25">
      <c r="A178" s="48"/>
      <c r="B178" s="49" t="s">
        <v>350</v>
      </c>
      <c r="C178" s="39" t="s">
        <v>351</v>
      </c>
      <c r="D178" s="39" t="s">
        <v>27</v>
      </c>
      <c r="E178" s="40" t="s">
        <v>4</v>
      </c>
      <c r="F178" s="39"/>
      <c r="G178" s="27"/>
    </row>
    <row r="179" spans="1:7" ht="53.25" customHeight="1" x14ac:dyDescent="0.25">
      <c r="A179" s="45" t="s">
        <v>352</v>
      </c>
      <c r="B179" s="51" t="s">
        <v>353</v>
      </c>
      <c r="C179" s="51"/>
      <c r="D179" s="51"/>
      <c r="E179" s="51"/>
      <c r="F179" s="52"/>
      <c r="G179" s="27"/>
    </row>
    <row r="180" spans="1:7" ht="31.5" x14ac:dyDescent="0.25">
      <c r="A180" s="45"/>
      <c r="B180" s="46" t="s">
        <v>354</v>
      </c>
      <c r="C180" s="31" t="s">
        <v>355</v>
      </c>
      <c r="D180" s="31" t="s">
        <v>27</v>
      </c>
      <c r="E180" s="32" t="s">
        <v>4</v>
      </c>
      <c r="F180" s="31"/>
      <c r="G180" s="27"/>
    </row>
    <row r="181" spans="1:7" x14ac:dyDescent="0.25">
      <c r="A181" s="45"/>
      <c r="B181" s="46" t="s">
        <v>356</v>
      </c>
      <c r="C181" s="30" t="s">
        <v>357</v>
      </c>
      <c r="D181" s="47" t="s">
        <v>27</v>
      </c>
      <c r="E181" s="32" t="s">
        <v>4</v>
      </c>
      <c r="F181" s="31"/>
      <c r="G181" s="27"/>
    </row>
    <row r="182" spans="1:7" x14ac:dyDescent="0.25">
      <c r="A182" s="45"/>
      <c r="B182" s="46" t="s">
        <v>358</v>
      </c>
      <c r="C182" s="31" t="s">
        <v>359</v>
      </c>
      <c r="D182" s="31" t="s">
        <v>27</v>
      </c>
      <c r="E182" s="32" t="s">
        <v>4</v>
      </c>
      <c r="F182" s="31"/>
      <c r="G182" s="27"/>
    </row>
    <row r="183" spans="1:7" x14ac:dyDescent="0.25">
      <c r="A183" s="45"/>
      <c r="B183" s="46" t="s">
        <v>360</v>
      </c>
      <c r="C183" s="31" t="s">
        <v>361</v>
      </c>
      <c r="D183" s="31" t="s">
        <v>21</v>
      </c>
      <c r="E183" s="32" t="s">
        <v>4</v>
      </c>
      <c r="F183" s="31"/>
      <c r="G183" s="27"/>
    </row>
    <row r="184" spans="1:7" ht="31.5" x14ac:dyDescent="0.25">
      <c r="A184" s="45"/>
      <c r="B184" s="46" t="s">
        <v>362</v>
      </c>
      <c r="C184" s="31" t="s">
        <v>363</v>
      </c>
      <c r="D184" s="47" t="s">
        <v>21</v>
      </c>
      <c r="E184" s="32" t="s">
        <v>4</v>
      </c>
      <c r="F184" s="31"/>
      <c r="G184" s="27"/>
    </row>
    <row r="185" spans="1:7" ht="15.75" customHeight="1" x14ac:dyDescent="0.25">
      <c r="A185" s="45"/>
      <c r="B185" s="35" t="s">
        <v>364</v>
      </c>
      <c r="C185" s="35"/>
      <c r="D185" s="35"/>
      <c r="E185" s="35"/>
      <c r="F185" s="36"/>
      <c r="G185" s="27"/>
    </row>
    <row r="186" spans="1:7" ht="47.25" x14ac:dyDescent="0.25">
      <c r="A186" s="45"/>
      <c r="B186" s="46" t="s">
        <v>365</v>
      </c>
      <c r="C186" s="31" t="s">
        <v>366</v>
      </c>
      <c r="D186" s="31" t="s">
        <v>27</v>
      </c>
      <c r="E186" s="32" t="s">
        <v>4</v>
      </c>
      <c r="F186" s="31"/>
      <c r="G186" s="27"/>
    </row>
    <row r="187" spans="1:7" x14ac:dyDescent="0.25">
      <c r="A187" s="45"/>
      <c r="B187" s="46" t="s">
        <v>367</v>
      </c>
      <c r="C187" s="70" t="s">
        <v>368</v>
      </c>
      <c r="D187" s="31" t="s">
        <v>27</v>
      </c>
      <c r="E187" s="32" t="s">
        <v>4</v>
      </c>
      <c r="F187" s="31"/>
      <c r="G187" s="27"/>
    </row>
    <row r="188" spans="1:7" x14ac:dyDescent="0.25">
      <c r="A188" s="45"/>
      <c r="B188" s="46" t="s">
        <v>369</v>
      </c>
      <c r="C188" s="31" t="s">
        <v>370</v>
      </c>
      <c r="D188" s="31" t="s">
        <v>21</v>
      </c>
      <c r="E188" s="32" t="s">
        <v>4</v>
      </c>
      <c r="F188" s="31"/>
      <c r="G188" s="27"/>
    </row>
    <row r="189" spans="1:7" ht="31.5" customHeight="1" x14ac:dyDescent="0.25">
      <c r="A189" s="45"/>
      <c r="B189" s="46" t="s">
        <v>371</v>
      </c>
      <c r="C189" s="31" t="s">
        <v>372</v>
      </c>
      <c r="D189" s="31" t="s">
        <v>21</v>
      </c>
      <c r="E189" s="32" t="s">
        <v>4</v>
      </c>
      <c r="F189" s="31"/>
      <c r="G189" s="27"/>
    </row>
    <row r="190" spans="1:7" x14ac:dyDescent="0.25">
      <c r="A190" s="45"/>
      <c r="B190" s="46" t="s">
        <v>373</v>
      </c>
      <c r="C190" s="70" t="s">
        <v>374</v>
      </c>
      <c r="D190" s="31" t="s">
        <v>21</v>
      </c>
      <c r="E190" s="32" t="s">
        <v>4</v>
      </c>
      <c r="F190" s="31"/>
      <c r="G190" s="27"/>
    </row>
    <row r="191" spans="1:7" ht="31.5" x14ac:dyDescent="0.25">
      <c r="A191" s="45"/>
      <c r="B191" s="46" t="s">
        <v>375</v>
      </c>
      <c r="C191" s="31" t="s">
        <v>376</v>
      </c>
      <c r="D191" s="31" t="s">
        <v>27</v>
      </c>
      <c r="E191" s="32" t="s">
        <v>4</v>
      </c>
      <c r="F191" s="31"/>
      <c r="G191" s="27"/>
    </row>
    <row r="192" spans="1:7" ht="94.5" x14ac:dyDescent="0.25">
      <c r="A192" s="45"/>
      <c r="B192" s="46" t="s">
        <v>377</v>
      </c>
      <c r="C192" s="31" t="s">
        <v>378</v>
      </c>
      <c r="D192" s="31" t="s">
        <v>21</v>
      </c>
      <c r="E192" s="32" t="s">
        <v>4</v>
      </c>
      <c r="F192" s="31"/>
      <c r="G192" s="27"/>
    </row>
    <row r="193" spans="1:7" ht="15.75" customHeight="1" x14ac:dyDescent="0.25">
      <c r="A193" s="45"/>
      <c r="B193" s="35" t="s">
        <v>379</v>
      </c>
      <c r="C193" s="35"/>
      <c r="D193" s="35"/>
      <c r="E193" s="35"/>
      <c r="F193" s="36"/>
      <c r="G193" s="27"/>
    </row>
    <row r="194" spans="1:7" ht="47.25" x14ac:dyDescent="0.25">
      <c r="A194" s="48"/>
      <c r="B194" s="49" t="s">
        <v>380</v>
      </c>
      <c r="C194" s="39" t="s">
        <v>381</v>
      </c>
      <c r="D194" s="39" t="s">
        <v>21</v>
      </c>
      <c r="E194" s="40" t="s">
        <v>4</v>
      </c>
      <c r="F194" s="39"/>
      <c r="G194" s="27"/>
    </row>
    <row r="195" spans="1:7" x14ac:dyDescent="0.25">
      <c r="A195" s="73" t="s">
        <v>382</v>
      </c>
      <c r="B195" s="42" t="s">
        <v>383</v>
      </c>
      <c r="C195" s="43" t="s">
        <v>384</v>
      </c>
      <c r="D195" s="43" t="s">
        <v>21</v>
      </c>
      <c r="E195" s="44" t="s">
        <v>4</v>
      </c>
      <c r="F195" s="74"/>
      <c r="G195" s="27"/>
    </row>
    <row r="196" spans="1:7" s="24" customFormat="1" x14ac:dyDescent="0.25">
      <c r="A196" s="75"/>
      <c r="E196" s="76"/>
      <c r="F196" s="23"/>
      <c r="G196" s="23"/>
    </row>
    <row r="197" spans="1:7" s="24" customFormat="1" x14ac:dyDescent="0.25">
      <c r="A197" s="75"/>
      <c r="E197" s="76"/>
      <c r="F197" s="23"/>
      <c r="G197" s="23"/>
    </row>
    <row r="198" spans="1:7" s="24" customFormat="1" x14ac:dyDescent="0.25">
      <c r="A198" s="75"/>
      <c r="E198" s="76"/>
      <c r="F198" s="23"/>
      <c r="G198" s="23"/>
    </row>
    <row r="199" spans="1:7" s="24" customFormat="1" x14ac:dyDescent="0.25">
      <c r="A199" s="75"/>
      <c r="E199" s="76"/>
      <c r="F199" s="23"/>
      <c r="G199" s="23"/>
    </row>
    <row r="200" spans="1:7" s="24" customFormat="1" x14ac:dyDescent="0.25">
      <c r="A200" s="75"/>
      <c r="E200" s="76"/>
      <c r="F200" s="23"/>
      <c r="G200" s="23"/>
    </row>
    <row r="201" spans="1:7" s="24" customFormat="1" x14ac:dyDescent="0.25">
      <c r="A201" s="75"/>
      <c r="E201" s="76"/>
      <c r="F201" s="23"/>
      <c r="G201" s="23"/>
    </row>
    <row r="202" spans="1:7" s="24" customFormat="1" x14ac:dyDescent="0.25">
      <c r="A202" s="75"/>
      <c r="E202" s="76"/>
      <c r="F202" s="23"/>
      <c r="G202" s="23"/>
    </row>
    <row r="203" spans="1:7" s="24" customFormat="1" x14ac:dyDescent="0.25">
      <c r="A203" s="75"/>
      <c r="E203" s="76"/>
      <c r="F203" s="23"/>
      <c r="G203" s="23"/>
    </row>
    <row r="204" spans="1:7" s="24" customFormat="1" x14ac:dyDescent="0.25">
      <c r="A204" s="75"/>
      <c r="E204" s="76"/>
      <c r="F204" s="23"/>
      <c r="G204" s="23"/>
    </row>
    <row r="205" spans="1:7" s="24" customFormat="1" x14ac:dyDescent="0.25">
      <c r="A205" s="75"/>
      <c r="E205" s="76"/>
      <c r="F205" s="23"/>
      <c r="G205" s="23"/>
    </row>
    <row r="206" spans="1:7" s="24" customFormat="1" x14ac:dyDescent="0.25">
      <c r="A206" s="75"/>
      <c r="E206" s="76"/>
      <c r="F206" s="23"/>
      <c r="G206" s="23"/>
    </row>
    <row r="207" spans="1:7" s="24" customFormat="1" x14ac:dyDescent="0.25">
      <c r="A207" s="75"/>
      <c r="E207" s="76"/>
      <c r="F207" s="23"/>
      <c r="G207" s="23"/>
    </row>
    <row r="208" spans="1:7" s="24" customFormat="1" x14ac:dyDescent="0.25">
      <c r="A208" s="75"/>
      <c r="E208" s="76"/>
      <c r="F208" s="23"/>
      <c r="G208" s="23"/>
    </row>
    <row r="209" spans="1:7" s="24" customFormat="1" x14ac:dyDescent="0.25">
      <c r="A209" s="75"/>
      <c r="E209" s="76"/>
      <c r="F209" s="23"/>
      <c r="G209" s="23"/>
    </row>
    <row r="210" spans="1:7" s="24" customFormat="1" x14ac:dyDescent="0.25">
      <c r="A210" s="75"/>
      <c r="E210" s="76"/>
      <c r="F210" s="23"/>
      <c r="G210" s="23"/>
    </row>
    <row r="211" spans="1:7" s="24" customFormat="1" x14ac:dyDescent="0.25">
      <c r="A211" s="75"/>
      <c r="E211" s="76"/>
      <c r="F211" s="23"/>
      <c r="G211" s="23"/>
    </row>
    <row r="212" spans="1:7" s="24" customFormat="1" x14ac:dyDescent="0.25">
      <c r="A212" s="75"/>
      <c r="E212" s="76"/>
      <c r="F212" s="23"/>
      <c r="G212" s="23"/>
    </row>
    <row r="213" spans="1:7" s="24" customFormat="1" x14ac:dyDescent="0.25">
      <c r="A213" s="75"/>
      <c r="E213" s="76"/>
      <c r="F213" s="23"/>
      <c r="G213" s="23"/>
    </row>
    <row r="214" spans="1:7" s="24" customFormat="1" x14ac:dyDescent="0.25">
      <c r="A214" s="75"/>
      <c r="E214" s="76"/>
      <c r="F214" s="23"/>
      <c r="G214" s="23"/>
    </row>
    <row r="215" spans="1:7" s="24" customFormat="1" x14ac:dyDescent="0.25">
      <c r="A215" s="75"/>
      <c r="E215" s="76"/>
      <c r="F215" s="23"/>
      <c r="G215" s="23"/>
    </row>
    <row r="216" spans="1:7" s="24" customFormat="1" x14ac:dyDescent="0.25">
      <c r="A216" s="75"/>
      <c r="E216" s="76"/>
      <c r="F216" s="23"/>
      <c r="G216" s="23"/>
    </row>
    <row r="217" spans="1:7" s="24" customFormat="1" x14ac:dyDescent="0.25">
      <c r="A217" s="75"/>
      <c r="E217" s="76"/>
      <c r="F217" s="23"/>
      <c r="G217" s="23"/>
    </row>
    <row r="218" spans="1:7" s="24" customFormat="1" x14ac:dyDescent="0.25">
      <c r="A218" s="75"/>
      <c r="E218" s="76"/>
      <c r="F218" s="23"/>
      <c r="G218" s="23"/>
    </row>
    <row r="219" spans="1:7" s="24" customFormat="1" x14ac:dyDescent="0.25">
      <c r="A219" s="75"/>
      <c r="E219" s="76"/>
      <c r="F219" s="23"/>
      <c r="G219" s="23"/>
    </row>
    <row r="220" spans="1:7" s="24" customFormat="1" x14ac:dyDescent="0.25">
      <c r="A220" s="75"/>
      <c r="E220" s="76"/>
      <c r="F220" s="23"/>
      <c r="G220" s="23"/>
    </row>
    <row r="221" spans="1:7" s="24" customFormat="1" x14ac:dyDescent="0.25">
      <c r="A221" s="75"/>
      <c r="E221" s="76"/>
      <c r="F221" s="23"/>
      <c r="G221" s="23"/>
    </row>
    <row r="222" spans="1:7" s="24" customFormat="1" x14ac:dyDescent="0.25">
      <c r="A222" s="75"/>
      <c r="E222" s="76"/>
      <c r="F222" s="23"/>
      <c r="G222" s="23"/>
    </row>
    <row r="223" spans="1:7" s="24" customFormat="1" x14ac:dyDescent="0.25">
      <c r="A223" s="75"/>
      <c r="E223" s="76"/>
      <c r="F223" s="23"/>
      <c r="G223" s="23"/>
    </row>
    <row r="224" spans="1:7" s="24" customFormat="1" x14ac:dyDescent="0.25">
      <c r="A224" s="75"/>
      <c r="E224" s="76"/>
      <c r="F224" s="23"/>
      <c r="G224" s="23"/>
    </row>
    <row r="225" spans="1:7" s="24" customFormat="1" x14ac:dyDescent="0.25">
      <c r="A225" s="75"/>
      <c r="E225" s="76"/>
      <c r="F225" s="23"/>
      <c r="G225" s="23"/>
    </row>
    <row r="226" spans="1:7" s="24" customFormat="1" x14ac:dyDescent="0.25">
      <c r="A226" s="75"/>
      <c r="E226" s="76"/>
      <c r="F226" s="23"/>
      <c r="G226" s="23"/>
    </row>
    <row r="227" spans="1:7" s="24" customFormat="1" x14ac:dyDescent="0.25">
      <c r="A227" s="75"/>
      <c r="E227" s="76"/>
      <c r="F227" s="23"/>
      <c r="G227" s="23"/>
    </row>
    <row r="228" spans="1:7" s="24" customFormat="1" x14ac:dyDescent="0.25">
      <c r="A228" s="75"/>
      <c r="E228" s="76"/>
      <c r="F228" s="23"/>
      <c r="G228" s="23"/>
    </row>
    <row r="229" spans="1:7" s="24" customFormat="1" x14ac:dyDescent="0.25">
      <c r="A229" s="75"/>
      <c r="E229" s="76"/>
      <c r="F229" s="23"/>
      <c r="G229" s="23"/>
    </row>
    <row r="230" spans="1:7" s="24" customFormat="1" x14ac:dyDescent="0.25">
      <c r="A230" s="75"/>
      <c r="E230" s="76"/>
      <c r="F230" s="23"/>
      <c r="G230" s="23"/>
    </row>
    <row r="231" spans="1:7" s="24" customFormat="1" x14ac:dyDescent="0.25">
      <c r="A231" s="75"/>
      <c r="E231" s="76"/>
      <c r="F231" s="23"/>
      <c r="G231" s="23"/>
    </row>
    <row r="232" spans="1:7" s="24" customFormat="1" x14ac:dyDescent="0.25">
      <c r="A232" s="75"/>
      <c r="E232" s="76"/>
      <c r="F232" s="23"/>
      <c r="G232" s="23"/>
    </row>
    <row r="233" spans="1:7" s="24" customFormat="1" x14ac:dyDescent="0.25">
      <c r="A233" s="75"/>
      <c r="E233" s="76"/>
      <c r="F233" s="23"/>
      <c r="G233" s="23"/>
    </row>
    <row r="234" spans="1:7" s="24" customFormat="1" x14ac:dyDescent="0.25">
      <c r="A234" s="75"/>
      <c r="E234" s="76"/>
      <c r="F234" s="23"/>
      <c r="G234" s="23"/>
    </row>
    <row r="235" spans="1:7" s="24" customFormat="1" x14ac:dyDescent="0.25">
      <c r="A235" s="75"/>
      <c r="E235" s="76"/>
      <c r="F235" s="23"/>
      <c r="G235" s="23"/>
    </row>
    <row r="236" spans="1:7" s="24" customFormat="1" x14ac:dyDescent="0.25">
      <c r="A236" s="75"/>
      <c r="E236" s="76"/>
      <c r="F236" s="23"/>
      <c r="G236" s="23"/>
    </row>
    <row r="237" spans="1:7" s="24" customFormat="1" x14ac:dyDescent="0.25">
      <c r="A237" s="75"/>
      <c r="E237" s="76"/>
      <c r="F237" s="23"/>
      <c r="G237" s="23"/>
    </row>
    <row r="238" spans="1:7" s="24" customFormat="1" x14ac:dyDescent="0.25">
      <c r="A238" s="75"/>
      <c r="E238" s="76"/>
      <c r="F238" s="23"/>
      <c r="G238" s="23"/>
    </row>
    <row r="239" spans="1:7" s="24" customFormat="1" x14ac:dyDescent="0.25">
      <c r="A239" s="75"/>
      <c r="E239" s="76"/>
      <c r="F239" s="23"/>
      <c r="G239" s="23"/>
    </row>
    <row r="240" spans="1:7" s="24" customFormat="1" x14ac:dyDescent="0.25">
      <c r="A240" s="75"/>
      <c r="E240" s="76"/>
      <c r="F240" s="23"/>
      <c r="G240" s="23"/>
    </row>
    <row r="241" spans="1:7" s="24" customFormat="1" x14ac:dyDescent="0.25">
      <c r="A241" s="75"/>
      <c r="E241" s="76"/>
      <c r="F241" s="23"/>
      <c r="G241" s="23"/>
    </row>
    <row r="242" spans="1:7" s="24" customFormat="1" x14ac:dyDescent="0.25">
      <c r="A242" s="75"/>
      <c r="E242" s="76"/>
      <c r="F242" s="23"/>
      <c r="G242" s="23"/>
    </row>
    <row r="243" spans="1:7" s="24" customFormat="1" x14ac:dyDescent="0.25">
      <c r="A243" s="75"/>
      <c r="E243" s="76"/>
      <c r="F243" s="23"/>
      <c r="G243" s="23"/>
    </row>
    <row r="244" spans="1:7" s="24" customFormat="1" x14ac:dyDescent="0.25">
      <c r="A244" s="75"/>
      <c r="E244" s="76"/>
      <c r="F244" s="23"/>
      <c r="G244" s="23"/>
    </row>
    <row r="245" spans="1:7" s="24" customFormat="1" x14ac:dyDescent="0.25">
      <c r="A245" s="75"/>
      <c r="E245" s="76"/>
      <c r="F245" s="23"/>
      <c r="G245" s="23"/>
    </row>
    <row r="246" spans="1:7" s="24" customFormat="1" x14ac:dyDescent="0.25">
      <c r="A246" s="75"/>
      <c r="E246" s="76"/>
      <c r="F246" s="23"/>
      <c r="G246" s="23"/>
    </row>
    <row r="247" spans="1:7" s="24" customFormat="1" x14ac:dyDescent="0.25">
      <c r="A247" s="75"/>
      <c r="E247" s="76"/>
      <c r="F247" s="23"/>
      <c r="G247" s="23"/>
    </row>
    <row r="248" spans="1:7" s="24" customFormat="1" x14ac:dyDescent="0.25">
      <c r="A248" s="75"/>
      <c r="E248" s="76"/>
      <c r="F248" s="23"/>
      <c r="G248" s="23"/>
    </row>
    <row r="249" spans="1:7" s="24" customFormat="1" x14ac:dyDescent="0.25">
      <c r="A249" s="75"/>
      <c r="E249" s="76"/>
      <c r="F249" s="23"/>
      <c r="G249" s="23"/>
    </row>
    <row r="250" spans="1:7" s="24" customFormat="1" x14ac:dyDescent="0.25">
      <c r="A250" s="75"/>
      <c r="E250" s="76"/>
      <c r="F250" s="23"/>
      <c r="G250" s="23"/>
    </row>
    <row r="251" spans="1:7" s="24" customFormat="1" x14ac:dyDescent="0.25">
      <c r="A251" s="75"/>
      <c r="E251" s="76"/>
      <c r="F251" s="23"/>
      <c r="G251" s="23"/>
    </row>
    <row r="252" spans="1:7" s="24" customFormat="1" x14ac:dyDescent="0.25">
      <c r="A252" s="75"/>
      <c r="E252" s="76"/>
      <c r="F252" s="23"/>
      <c r="G252" s="23"/>
    </row>
    <row r="253" spans="1:7" s="24" customFormat="1" x14ac:dyDescent="0.25">
      <c r="A253" s="75"/>
      <c r="E253" s="76"/>
      <c r="F253" s="23"/>
      <c r="G253" s="23"/>
    </row>
    <row r="254" spans="1:7" s="24" customFormat="1" x14ac:dyDescent="0.25">
      <c r="A254" s="75"/>
      <c r="E254" s="76"/>
      <c r="F254" s="23"/>
      <c r="G254" s="23"/>
    </row>
    <row r="255" spans="1:7" s="24" customFormat="1" x14ac:dyDescent="0.25">
      <c r="A255" s="75"/>
      <c r="E255" s="76"/>
      <c r="F255" s="23"/>
      <c r="G255" s="23"/>
    </row>
    <row r="256" spans="1:7" s="24" customFormat="1" x14ac:dyDescent="0.25">
      <c r="A256" s="75"/>
      <c r="E256" s="76"/>
      <c r="F256" s="23"/>
      <c r="G256" s="23"/>
    </row>
    <row r="257" spans="1:7" s="24" customFormat="1" x14ac:dyDescent="0.25">
      <c r="A257" s="75"/>
      <c r="E257" s="76"/>
      <c r="F257" s="23"/>
      <c r="G257" s="23"/>
    </row>
    <row r="258" spans="1:7" s="24" customFormat="1" x14ac:dyDescent="0.25">
      <c r="A258" s="75"/>
      <c r="E258" s="76"/>
      <c r="F258" s="23"/>
      <c r="G258" s="23"/>
    </row>
    <row r="259" spans="1:7" s="24" customFormat="1" x14ac:dyDescent="0.25">
      <c r="A259" s="75"/>
      <c r="E259" s="76"/>
      <c r="F259" s="23"/>
      <c r="G259" s="23"/>
    </row>
    <row r="260" spans="1:7" s="24" customFormat="1" x14ac:dyDescent="0.25">
      <c r="A260" s="75"/>
      <c r="E260" s="76"/>
      <c r="F260" s="23"/>
      <c r="G260" s="23"/>
    </row>
    <row r="261" spans="1:7" s="24" customFormat="1" x14ac:dyDescent="0.25">
      <c r="A261" s="75"/>
      <c r="E261" s="76"/>
      <c r="F261" s="23"/>
      <c r="G261" s="23"/>
    </row>
    <row r="262" spans="1:7" s="24" customFormat="1" x14ac:dyDescent="0.25">
      <c r="A262" s="75"/>
      <c r="E262" s="76"/>
      <c r="F262" s="23"/>
      <c r="G262" s="23"/>
    </row>
    <row r="263" spans="1:7" s="24" customFormat="1" x14ac:dyDescent="0.25">
      <c r="A263" s="75"/>
      <c r="E263" s="76"/>
      <c r="F263" s="23"/>
      <c r="G263" s="23"/>
    </row>
    <row r="264" spans="1:7" s="24" customFormat="1" x14ac:dyDescent="0.25">
      <c r="A264" s="75"/>
      <c r="E264" s="76"/>
      <c r="F264" s="23"/>
      <c r="G264" s="23"/>
    </row>
    <row r="265" spans="1:7" s="24" customFormat="1" x14ac:dyDescent="0.25">
      <c r="A265" s="75"/>
      <c r="E265" s="76"/>
      <c r="F265" s="23"/>
      <c r="G265" s="23"/>
    </row>
    <row r="266" spans="1:7" s="24" customFormat="1" x14ac:dyDescent="0.25">
      <c r="A266" s="75"/>
      <c r="E266" s="76"/>
      <c r="F266" s="23"/>
      <c r="G266" s="23"/>
    </row>
    <row r="267" spans="1:7" s="24" customFormat="1" x14ac:dyDescent="0.25">
      <c r="A267" s="75"/>
      <c r="E267" s="76"/>
      <c r="F267" s="23"/>
      <c r="G267" s="23"/>
    </row>
    <row r="268" spans="1:7" s="24" customFormat="1" x14ac:dyDescent="0.25">
      <c r="A268" s="75"/>
      <c r="E268" s="76"/>
      <c r="F268" s="23"/>
      <c r="G268" s="23"/>
    </row>
    <row r="269" spans="1:7" s="24" customFormat="1" x14ac:dyDescent="0.25">
      <c r="A269" s="75"/>
      <c r="E269" s="76"/>
      <c r="F269" s="23"/>
      <c r="G269" s="23"/>
    </row>
    <row r="270" spans="1:7" s="24" customFormat="1" x14ac:dyDescent="0.25">
      <c r="A270" s="75"/>
      <c r="E270" s="76"/>
      <c r="F270" s="23"/>
      <c r="G270" s="23"/>
    </row>
    <row r="271" spans="1:7" s="24" customFormat="1" x14ac:dyDescent="0.25">
      <c r="A271" s="75"/>
      <c r="E271" s="76"/>
      <c r="F271" s="23"/>
      <c r="G271" s="23"/>
    </row>
    <row r="272" spans="1:7" s="24" customFormat="1" x14ac:dyDescent="0.25">
      <c r="A272" s="75"/>
      <c r="E272" s="76"/>
      <c r="F272" s="23"/>
      <c r="G272" s="23"/>
    </row>
    <row r="273" spans="1:7" s="24" customFormat="1" x14ac:dyDescent="0.25">
      <c r="A273" s="75"/>
      <c r="E273" s="76"/>
      <c r="F273" s="23"/>
      <c r="G273" s="23"/>
    </row>
    <row r="274" spans="1:7" s="24" customFormat="1" x14ac:dyDescent="0.25">
      <c r="A274" s="75"/>
      <c r="E274" s="76"/>
      <c r="F274" s="23"/>
      <c r="G274" s="23"/>
    </row>
    <row r="275" spans="1:7" s="24" customFormat="1" x14ac:dyDescent="0.25">
      <c r="A275" s="75"/>
      <c r="E275" s="76"/>
      <c r="F275" s="23"/>
      <c r="G275" s="23"/>
    </row>
    <row r="276" spans="1:7" s="24" customFormat="1" x14ac:dyDescent="0.25">
      <c r="A276" s="75"/>
      <c r="E276" s="76"/>
      <c r="F276" s="23"/>
      <c r="G276" s="23"/>
    </row>
    <row r="277" spans="1:7" s="24" customFormat="1" x14ac:dyDescent="0.25">
      <c r="A277" s="75"/>
      <c r="E277" s="76"/>
      <c r="F277" s="23"/>
      <c r="G277" s="23"/>
    </row>
    <row r="278" spans="1:7" s="24" customFormat="1" x14ac:dyDescent="0.25">
      <c r="A278" s="75"/>
      <c r="E278" s="76"/>
      <c r="F278" s="23"/>
      <c r="G278" s="23"/>
    </row>
    <row r="279" spans="1:7" s="24" customFormat="1" x14ac:dyDescent="0.25">
      <c r="A279" s="75"/>
      <c r="E279" s="76"/>
      <c r="F279" s="23"/>
      <c r="G279" s="23"/>
    </row>
    <row r="280" spans="1:7" s="24" customFormat="1" x14ac:dyDescent="0.25">
      <c r="A280" s="75"/>
      <c r="E280" s="76"/>
      <c r="F280" s="23"/>
      <c r="G280" s="23"/>
    </row>
    <row r="281" spans="1:7" s="24" customFormat="1" x14ac:dyDescent="0.25">
      <c r="A281" s="75"/>
      <c r="E281" s="76"/>
      <c r="F281" s="23"/>
      <c r="G281" s="23"/>
    </row>
    <row r="282" spans="1:7" s="24" customFormat="1" x14ac:dyDescent="0.25">
      <c r="A282" s="75"/>
      <c r="E282" s="76"/>
      <c r="F282" s="23"/>
      <c r="G282" s="23"/>
    </row>
    <row r="283" spans="1:7" s="24" customFormat="1" x14ac:dyDescent="0.25">
      <c r="A283" s="75"/>
      <c r="E283" s="76"/>
      <c r="F283" s="23"/>
      <c r="G283" s="23"/>
    </row>
    <row r="284" spans="1:7" s="24" customFormat="1" x14ac:dyDescent="0.25">
      <c r="A284" s="75"/>
      <c r="E284" s="76"/>
      <c r="F284" s="23"/>
      <c r="G284" s="23"/>
    </row>
    <row r="285" spans="1:7" s="24" customFormat="1" x14ac:dyDescent="0.25">
      <c r="A285" s="75"/>
      <c r="E285" s="76"/>
      <c r="F285" s="23"/>
      <c r="G285" s="23"/>
    </row>
    <row r="286" spans="1:7" s="24" customFormat="1" x14ac:dyDescent="0.25">
      <c r="A286" s="75"/>
      <c r="E286" s="76"/>
      <c r="F286" s="23"/>
      <c r="G286" s="23"/>
    </row>
    <row r="287" spans="1:7" s="24" customFormat="1" x14ac:dyDescent="0.25">
      <c r="A287" s="75"/>
      <c r="E287" s="76"/>
      <c r="F287" s="23"/>
      <c r="G287" s="23"/>
    </row>
    <row r="288" spans="1:7" s="24" customFormat="1" x14ac:dyDescent="0.25">
      <c r="A288" s="75"/>
      <c r="E288" s="76"/>
      <c r="F288" s="23"/>
      <c r="G288" s="23"/>
    </row>
    <row r="289" spans="1:7" s="24" customFormat="1" x14ac:dyDescent="0.25">
      <c r="A289" s="75"/>
      <c r="E289" s="76"/>
      <c r="F289" s="23"/>
      <c r="G289" s="23"/>
    </row>
    <row r="290" spans="1:7" s="24" customFormat="1" x14ac:dyDescent="0.25">
      <c r="A290" s="75"/>
      <c r="E290" s="76"/>
      <c r="F290" s="23"/>
      <c r="G290" s="23"/>
    </row>
    <row r="291" spans="1:7" s="24" customFormat="1" x14ac:dyDescent="0.25">
      <c r="A291" s="75"/>
      <c r="E291" s="76"/>
      <c r="F291" s="23"/>
      <c r="G291" s="23"/>
    </row>
    <row r="292" spans="1:7" s="24" customFormat="1" x14ac:dyDescent="0.25">
      <c r="A292" s="75"/>
      <c r="E292" s="76"/>
      <c r="F292" s="23"/>
      <c r="G292" s="23"/>
    </row>
    <row r="293" spans="1:7" s="24" customFormat="1" x14ac:dyDescent="0.25">
      <c r="A293" s="75"/>
      <c r="E293" s="76"/>
      <c r="F293" s="23"/>
      <c r="G293" s="23"/>
    </row>
    <row r="294" spans="1:7" s="24" customFormat="1" x14ac:dyDescent="0.25">
      <c r="A294" s="75"/>
      <c r="E294" s="76"/>
      <c r="F294" s="23"/>
      <c r="G294" s="23"/>
    </row>
    <row r="295" spans="1:7" s="24" customFormat="1" x14ac:dyDescent="0.25">
      <c r="A295" s="75"/>
      <c r="E295" s="76"/>
      <c r="F295" s="23"/>
      <c r="G295" s="23"/>
    </row>
    <row r="296" spans="1:7" s="24" customFormat="1" x14ac:dyDescent="0.25">
      <c r="A296" s="75"/>
      <c r="E296" s="76"/>
      <c r="F296" s="23"/>
      <c r="G296" s="23"/>
    </row>
    <row r="297" spans="1:7" s="24" customFormat="1" x14ac:dyDescent="0.25">
      <c r="A297" s="75"/>
      <c r="E297" s="76"/>
      <c r="F297" s="23"/>
      <c r="G297" s="23"/>
    </row>
    <row r="298" spans="1:7" s="24" customFormat="1" x14ac:dyDescent="0.25">
      <c r="A298" s="75"/>
      <c r="E298" s="76"/>
      <c r="F298" s="23"/>
      <c r="G298" s="23"/>
    </row>
    <row r="299" spans="1:7" s="24" customFormat="1" x14ac:dyDescent="0.25">
      <c r="A299" s="75"/>
      <c r="E299" s="76"/>
      <c r="F299" s="23"/>
      <c r="G299" s="23"/>
    </row>
    <row r="300" spans="1:7" s="24" customFormat="1" x14ac:dyDescent="0.25">
      <c r="A300" s="75"/>
      <c r="E300" s="76"/>
      <c r="F300" s="23"/>
      <c r="G300" s="23"/>
    </row>
    <row r="301" spans="1:7" s="24" customFormat="1" x14ac:dyDescent="0.25">
      <c r="A301" s="75"/>
      <c r="E301" s="76"/>
      <c r="F301" s="23"/>
      <c r="G301" s="23"/>
    </row>
    <row r="302" spans="1:7" s="24" customFormat="1" x14ac:dyDescent="0.25">
      <c r="A302" s="75"/>
      <c r="E302" s="76"/>
      <c r="F302" s="23"/>
      <c r="G302" s="23"/>
    </row>
    <row r="303" spans="1:7" s="24" customFormat="1" x14ac:dyDescent="0.25">
      <c r="A303" s="75"/>
      <c r="E303" s="76"/>
      <c r="F303" s="23"/>
      <c r="G303" s="23"/>
    </row>
    <row r="304" spans="1:7" s="24" customFormat="1" x14ac:dyDescent="0.25">
      <c r="A304" s="75"/>
      <c r="E304" s="76"/>
      <c r="F304" s="23"/>
      <c r="G304" s="23"/>
    </row>
    <row r="305" spans="1:7" s="24" customFormat="1" x14ac:dyDescent="0.25">
      <c r="A305" s="75"/>
      <c r="E305" s="76"/>
      <c r="F305" s="23"/>
      <c r="G305" s="23"/>
    </row>
    <row r="306" spans="1:7" s="24" customFormat="1" x14ac:dyDescent="0.25">
      <c r="A306" s="75"/>
      <c r="E306" s="76"/>
      <c r="F306" s="23"/>
      <c r="G306" s="23"/>
    </row>
    <row r="307" spans="1:7" s="24" customFormat="1" x14ac:dyDescent="0.25">
      <c r="A307" s="75"/>
      <c r="E307" s="76"/>
      <c r="F307" s="23"/>
      <c r="G307" s="23"/>
    </row>
    <row r="308" spans="1:7" s="24" customFormat="1" x14ac:dyDescent="0.25">
      <c r="A308" s="75"/>
      <c r="E308" s="76"/>
      <c r="F308" s="23"/>
      <c r="G308" s="23"/>
    </row>
    <row r="309" spans="1:7" s="24" customFormat="1" x14ac:dyDescent="0.25">
      <c r="A309" s="75"/>
      <c r="E309" s="76"/>
      <c r="F309" s="23"/>
      <c r="G309" s="23"/>
    </row>
    <row r="310" spans="1:7" s="24" customFormat="1" x14ac:dyDescent="0.25">
      <c r="A310" s="75"/>
      <c r="E310" s="76"/>
      <c r="F310" s="23"/>
      <c r="G310" s="23"/>
    </row>
    <row r="311" spans="1:7" s="24" customFormat="1" x14ac:dyDescent="0.25">
      <c r="A311" s="75"/>
      <c r="E311" s="76"/>
      <c r="F311" s="23"/>
      <c r="G311" s="23"/>
    </row>
    <row r="312" spans="1:7" s="24" customFormat="1" x14ac:dyDescent="0.25">
      <c r="A312" s="75"/>
      <c r="E312" s="76"/>
      <c r="F312" s="23"/>
      <c r="G312" s="23"/>
    </row>
    <row r="313" spans="1:7" s="24" customFormat="1" x14ac:dyDescent="0.25">
      <c r="A313" s="75"/>
      <c r="E313" s="76"/>
      <c r="F313" s="23"/>
      <c r="G313" s="23"/>
    </row>
    <row r="314" spans="1:7" s="24" customFormat="1" x14ac:dyDescent="0.25">
      <c r="A314" s="75"/>
      <c r="E314" s="76"/>
      <c r="F314" s="23"/>
      <c r="G314" s="23"/>
    </row>
    <row r="315" spans="1:7" s="24" customFormat="1" x14ac:dyDescent="0.25">
      <c r="A315" s="75"/>
      <c r="E315" s="76"/>
      <c r="F315" s="23"/>
      <c r="G315" s="23"/>
    </row>
    <row r="316" spans="1:7" s="24" customFormat="1" x14ac:dyDescent="0.25">
      <c r="A316" s="75"/>
      <c r="E316" s="76"/>
      <c r="F316" s="23"/>
      <c r="G316" s="23"/>
    </row>
    <row r="317" spans="1:7" s="24" customFormat="1" x14ac:dyDescent="0.25">
      <c r="A317" s="75"/>
      <c r="E317" s="76"/>
      <c r="F317" s="23"/>
      <c r="G317" s="23"/>
    </row>
    <row r="318" spans="1:7" s="24" customFormat="1" x14ac:dyDescent="0.25">
      <c r="A318" s="75"/>
      <c r="E318" s="76"/>
      <c r="F318" s="23"/>
      <c r="G318" s="23"/>
    </row>
    <row r="319" spans="1:7" s="24" customFormat="1" x14ac:dyDescent="0.25">
      <c r="A319" s="75"/>
      <c r="E319" s="76"/>
      <c r="F319" s="23"/>
      <c r="G319" s="23"/>
    </row>
    <row r="320" spans="1:7" s="24" customFormat="1" x14ac:dyDescent="0.25">
      <c r="A320" s="75"/>
      <c r="E320" s="76"/>
      <c r="F320" s="23"/>
      <c r="G320" s="23"/>
    </row>
    <row r="321" spans="1:7" s="24" customFormat="1" x14ac:dyDescent="0.25">
      <c r="A321" s="75"/>
      <c r="E321" s="76"/>
      <c r="F321" s="23"/>
      <c r="G321" s="23"/>
    </row>
    <row r="322" spans="1:7" s="24" customFormat="1" x14ac:dyDescent="0.25">
      <c r="A322" s="75"/>
      <c r="E322" s="76"/>
      <c r="F322" s="23"/>
      <c r="G322" s="23"/>
    </row>
    <row r="323" spans="1:7" s="24" customFormat="1" x14ac:dyDescent="0.25">
      <c r="A323" s="75"/>
      <c r="E323" s="76"/>
      <c r="F323" s="23"/>
      <c r="G323" s="23"/>
    </row>
    <row r="324" spans="1:7" s="24" customFormat="1" x14ac:dyDescent="0.25">
      <c r="A324" s="75"/>
      <c r="E324" s="76"/>
      <c r="F324" s="23"/>
      <c r="G324" s="23"/>
    </row>
    <row r="325" spans="1:7" s="24" customFormat="1" x14ac:dyDescent="0.25">
      <c r="A325" s="75"/>
      <c r="E325" s="76"/>
      <c r="F325" s="23"/>
      <c r="G325" s="23"/>
    </row>
    <row r="326" spans="1:7" s="24" customFormat="1" x14ac:dyDescent="0.25">
      <c r="A326" s="75"/>
      <c r="E326" s="76"/>
      <c r="F326" s="23"/>
      <c r="G326" s="23"/>
    </row>
    <row r="327" spans="1:7" s="24" customFormat="1" x14ac:dyDescent="0.25">
      <c r="A327" s="75"/>
      <c r="E327" s="76"/>
      <c r="F327" s="23"/>
      <c r="G327" s="23"/>
    </row>
    <row r="328" spans="1:7" s="24" customFormat="1" x14ac:dyDescent="0.25">
      <c r="A328" s="75"/>
      <c r="E328" s="76"/>
      <c r="F328" s="23"/>
      <c r="G328" s="23"/>
    </row>
    <row r="329" spans="1:7" s="24" customFormat="1" x14ac:dyDescent="0.25">
      <c r="A329" s="75"/>
      <c r="E329" s="76"/>
      <c r="F329" s="23"/>
      <c r="G329" s="23"/>
    </row>
    <row r="330" spans="1:7" s="24" customFormat="1" x14ac:dyDescent="0.25">
      <c r="A330" s="75"/>
      <c r="E330" s="76"/>
      <c r="F330" s="23"/>
      <c r="G330" s="23"/>
    </row>
    <row r="331" spans="1:7" s="24" customFormat="1" x14ac:dyDescent="0.25">
      <c r="A331" s="75"/>
      <c r="E331" s="76"/>
      <c r="F331" s="23"/>
      <c r="G331" s="23"/>
    </row>
    <row r="332" spans="1:7" s="24" customFormat="1" x14ac:dyDescent="0.25">
      <c r="A332" s="75"/>
      <c r="E332" s="76"/>
      <c r="F332" s="23"/>
      <c r="G332" s="23"/>
    </row>
    <row r="333" spans="1:7" s="24" customFormat="1" x14ac:dyDescent="0.25">
      <c r="A333" s="75"/>
      <c r="E333" s="76"/>
      <c r="F333" s="23"/>
      <c r="G333" s="23"/>
    </row>
    <row r="334" spans="1:7" s="24" customFormat="1" x14ac:dyDescent="0.25">
      <c r="A334" s="75"/>
      <c r="E334" s="76"/>
      <c r="F334" s="23"/>
      <c r="G334" s="23"/>
    </row>
    <row r="335" spans="1:7" s="24" customFormat="1" x14ac:dyDescent="0.25">
      <c r="A335" s="75"/>
      <c r="E335" s="76"/>
      <c r="F335" s="23"/>
      <c r="G335" s="23"/>
    </row>
    <row r="336" spans="1:7" s="24" customFormat="1" x14ac:dyDescent="0.25">
      <c r="A336" s="75"/>
      <c r="E336" s="76"/>
      <c r="F336" s="23"/>
      <c r="G336" s="23"/>
    </row>
    <row r="337" spans="1:7" s="24" customFormat="1" x14ac:dyDescent="0.25">
      <c r="A337" s="75"/>
      <c r="E337" s="76"/>
      <c r="F337" s="23"/>
      <c r="G337" s="23"/>
    </row>
    <row r="338" spans="1:7" s="24" customFormat="1" x14ac:dyDescent="0.25">
      <c r="A338" s="75"/>
      <c r="E338" s="76"/>
      <c r="F338" s="23"/>
      <c r="G338" s="23"/>
    </row>
    <row r="339" spans="1:7" s="24" customFormat="1" x14ac:dyDescent="0.25">
      <c r="A339" s="75"/>
      <c r="E339" s="76"/>
      <c r="F339" s="23"/>
      <c r="G339" s="23"/>
    </row>
    <row r="340" spans="1:7" s="24" customFormat="1" x14ac:dyDescent="0.25">
      <c r="A340" s="75"/>
      <c r="E340" s="76"/>
      <c r="F340" s="23"/>
      <c r="G340" s="23"/>
    </row>
    <row r="341" spans="1:7" s="24" customFormat="1" x14ac:dyDescent="0.25">
      <c r="A341" s="75"/>
      <c r="E341" s="76"/>
      <c r="F341" s="23"/>
      <c r="G341" s="23"/>
    </row>
    <row r="342" spans="1:7" s="24" customFormat="1" x14ac:dyDescent="0.25">
      <c r="A342" s="75"/>
      <c r="E342" s="76"/>
      <c r="F342" s="23"/>
      <c r="G342" s="23"/>
    </row>
    <row r="343" spans="1:7" s="24" customFormat="1" x14ac:dyDescent="0.25">
      <c r="A343" s="75"/>
      <c r="E343" s="76"/>
      <c r="F343" s="23"/>
      <c r="G343" s="23"/>
    </row>
    <row r="344" spans="1:7" s="24" customFormat="1" x14ac:dyDescent="0.25">
      <c r="A344" s="75"/>
      <c r="E344" s="76"/>
      <c r="F344" s="23"/>
      <c r="G344" s="23"/>
    </row>
    <row r="345" spans="1:7" s="24" customFormat="1" x14ac:dyDescent="0.25">
      <c r="A345" s="75"/>
      <c r="E345" s="76"/>
      <c r="F345" s="23"/>
      <c r="G345" s="23"/>
    </row>
    <row r="346" spans="1:7" s="24" customFormat="1" x14ac:dyDescent="0.25">
      <c r="A346" s="75"/>
      <c r="E346" s="76"/>
      <c r="F346" s="23"/>
      <c r="G346" s="23"/>
    </row>
    <row r="347" spans="1:7" s="24" customFormat="1" x14ac:dyDescent="0.25">
      <c r="A347" s="75"/>
      <c r="E347" s="76"/>
      <c r="F347" s="23"/>
      <c r="G347" s="23"/>
    </row>
    <row r="348" spans="1:7" s="24" customFormat="1" x14ac:dyDescent="0.25">
      <c r="A348" s="75"/>
      <c r="E348" s="76"/>
      <c r="F348" s="23"/>
      <c r="G348" s="23"/>
    </row>
    <row r="349" spans="1:7" s="24" customFormat="1" x14ac:dyDescent="0.25">
      <c r="A349" s="75"/>
      <c r="E349" s="76"/>
      <c r="F349" s="23"/>
      <c r="G349" s="23"/>
    </row>
    <row r="350" spans="1:7" s="24" customFormat="1" x14ac:dyDescent="0.25">
      <c r="A350" s="75"/>
      <c r="E350" s="76"/>
      <c r="F350" s="23"/>
      <c r="G350" s="23"/>
    </row>
    <row r="351" spans="1:7" s="24" customFormat="1" x14ac:dyDescent="0.25">
      <c r="A351" s="75"/>
      <c r="E351" s="76"/>
      <c r="F351" s="23"/>
      <c r="G351" s="23"/>
    </row>
    <row r="352" spans="1:7" s="24" customFormat="1" x14ac:dyDescent="0.25">
      <c r="A352" s="75"/>
      <c r="E352" s="76"/>
      <c r="F352" s="23"/>
      <c r="G352" s="23"/>
    </row>
    <row r="353" spans="1:7" s="24" customFormat="1" x14ac:dyDescent="0.25">
      <c r="A353" s="75"/>
      <c r="E353" s="76"/>
      <c r="F353" s="23"/>
      <c r="G353" s="23"/>
    </row>
    <row r="354" spans="1:7" s="24" customFormat="1" x14ac:dyDescent="0.25">
      <c r="A354" s="75"/>
      <c r="E354" s="76"/>
      <c r="F354" s="23"/>
      <c r="G354" s="23"/>
    </row>
    <row r="355" spans="1:7" s="24" customFormat="1" x14ac:dyDescent="0.25">
      <c r="A355" s="75"/>
      <c r="E355" s="76"/>
      <c r="F355" s="23"/>
      <c r="G355" s="23"/>
    </row>
    <row r="356" spans="1:7" s="24" customFormat="1" x14ac:dyDescent="0.25">
      <c r="A356" s="75"/>
      <c r="E356" s="76"/>
      <c r="F356" s="23"/>
      <c r="G356" s="23"/>
    </row>
    <row r="357" spans="1:7" s="24" customFormat="1" x14ac:dyDescent="0.25">
      <c r="A357" s="75"/>
      <c r="E357" s="76"/>
      <c r="F357" s="23"/>
      <c r="G357" s="23"/>
    </row>
    <row r="358" spans="1:7" s="24" customFormat="1" x14ac:dyDescent="0.25">
      <c r="A358" s="75"/>
      <c r="E358" s="76"/>
      <c r="F358" s="23"/>
      <c r="G358" s="23"/>
    </row>
    <row r="359" spans="1:7" s="24" customFormat="1" x14ac:dyDescent="0.25">
      <c r="A359" s="75"/>
      <c r="E359" s="76"/>
      <c r="F359" s="23"/>
      <c r="G359" s="23"/>
    </row>
    <row r="360" spans="1:7" s="24" customFormat="1" x14ac:dyDescent="0.25">
      <c r="A360" s="75"/>
      <c r="E360" s="76"/>
      <c r="F360" s="23"/>
      <c r="G360" s="23"/>
    </row>
    <row r="361" spans="1:7" s="24" customFormat="1" x14ac:dyDescent="0.25">
      <c r="A361" s="75"/>
      <c r="E361" s="76"/>
      <c r="F361" s="23"/>
      <c r="G361" s="23"/>
    </row>
    <row r="362" spans="1:7" s="24" customFormat="1" x14ac:dyDescent="0.25">
      <c r="A362" s="75"/>
      <c r="E362" s="76"/>
      <c r="F362" s="23"/>
      <c r="G362" s="23"/>
    </row>
    <row r="363" spans="1:7" s="24" customFormat="1" x14ac:dyDescent="0.25">
      <c r="A363" s="75"/>
      <c r="E363" s="76"/>
      <c r="F363" s="23"/>
      <c r="G363" s="23"/>
    </row>
    <row r="364" spans="1:7" s="24" customFormat="1" x14ac:dyDescent="0.25">
      <c r="A364" s="75"/>
      <c r="E364" s="76"/>
      <c r="F364" s="23"/>
      <c r="G364" s="23"/>
    </row>
    <row r="365" spans="1:7" s="24" customFormat="1" x14ac:dyDescent="0.25">
      <c r="A365" s="75"/>
      <c r="E365" s="76"/>
      <c r="F365" s="23"/>
      <c r="G365" s="23"/>
    </row>
    <row r="366" spans="1:7" s="24" customFormat="1" x14ac:dyDescent="0.25">
      <c r="A366" s="75"/>
      <c r="E366" s="76"/>
      <c r="F366" s="23"/>
      <c r="G366" s="23"/>
    </row>
    <row r="367" spans="1:7" s="24" customFormat="1" x14ac:dyDescent="0.25">
      <c r="A367" s="75"/>
      <c r="E367" s="76"/>
      <c r="F367" s="23"/>
      <c r="G367" s="23"/>
    </row>
    <row r="368" spans="1:7" s="24" customFormat="1" x14ac:dyDescent="0.25">
      <c r="A368" s="75"/>
      <c r="E368" s="76"/>
      <c r="F368" s="23"/>
      <c r="G368" s="23"/>
    </row>
    <row r="369" spans="1:7" s="24" customFormat="1" x14ac:dyDescent="0.25">
      <c r="A369" s="75"/>
      <c r="E369" s="76"/>
      <c r="F369" s="23"/>
      <c r="G369" s="23"/>
    </row>
    <row r="370" spans="1:7" s="24" customFormat="1" x14ac:dyDescent="0.25">
      <c r="A370" s="75"/>
      <c r="E370" s="76"/>
      <c r="F370" s="23"/>
      <c r="G370" s="23"/>
    </row>
    <row r="371" spans="1:7" s="24" customFormat="1" x14ac:dyDescent="0.25">
      <c r="A371" s="75"/>
      <c r="E371" s="76"/>
      <c r="F371" s="23"/>
      <c r="G371" s="23"/>
    </row>
    <row r="372" spans="1:7" s="24" customFormat="1" x14ac:dyDescent="0.25">
      <c r="A372" s="75"/>
      <c r="E372" s="76"/>
      <c r="F372" s="23"/>
      <c r="G372" s="23"/>
    </row>
    <row r="373" spans="1:7" s="24" customFormat="1" x14ac:dyDescent="0.25">
      <c r="A373" s="75"/>
      <c r="E373" s="76"/>
      <c r="F373" s="23"/>
      <c r="G373" s="23"/>
    </row>
    <row r="374" spans="1:7" s="24" customFormat="1" x14ac:dyDescent="0.25">
      <c r="A374" s="75"/>
      <c r="E374" s="76"/>
      <c r="F374" s="23"/>
      <c r="G374" s="23"/>
    </row>
    <row r="375" spans="1:7" s="24" customFormat="1" x14ac:dyDescent="0.25">
      <c r="A375" s="75"/>
      <c r="E375" s="76"/>
      <c r="F375" s="23"/>
      <c r="G375" s="23"/>
    </row>
    <row r="376" spans="1:7" s="24" customFormat="1" x14ac:dyDescent="0.25">
      <c r="A376" s="75"/>
      <c r="E376" s="76"/>
      <c r="F376" s="23"/>
      <c r="G376" s="23"/>
    </row>
    <row r="377" spans="1:7" s="24" customFormat="1" x14ac:dyDescent="0.25">
      <c r="A377" s="75"/>
      <c r="E377" s="76"/>
      <c r="F377" s="23"/>
      <c r="G377" s="23"/>
    </row>
    <row r="378" spans="1:7" s="24" customFormat="1" x14ac:dyDescent="0.25">
      <c r="A378" s="75"/>
      <c r="E378" s="76"/>
      <c r="F378" s="23"/>
      <c r="G378" s="23"/>
    </row>
    <row r="379" spans="1:7" s="24" customFormat="1" x14ac:dyDescent="0.25">
      <c r="A379" s="75"/>
      <c r="E379" s="76"/>
      <c r="F379" s="23"/>
      <c r="G379" s="23"/>
    </row>
    <row r="380" spans="1:7" s="24" customFormat="1" x14ac:dyDescent="0.25">
      <c r="A380" s="75"/>
      <c r="E380" s="76"/>
      <c r="F380" s="23"/>
      <c r="G380" s="23"/>
    </row>
    <row r="381" spans="1:7" s="24" customFormat="1" x14ac:dyDescent="0.25">
      <c r="A381" s="75"/>
      <c r="E381" s="76"/>
      <c r="F381" s="23"/>
      <c r="G381" s="23"/>
    </row>
    <row r="382" spans="1:7" s="24" customFormat="1" x14ac:dyDescent="0.25">
      <c r="A382" s="75"/>
      <c r="E382" s="76"/>
      <c r="F382" s="23"/>
      <c r="G382" s="23"/>
    </row>
    <row r="383" spans="1:7" s="24" customFormat="1" x14ac:dyDescent="0.25">
      <c r="A383" s="75"/>
      <c r="E383" s="76"/>
      <c r="F383" s="23"/>
      <c r="G383" s="23"/>
    </row>
    <row r="384" spans="1:7" s="24" customFormat="1" x14ac:dyDescent="0.25">
      <c r="A384" s="75"/>
      <c r="E384" s="76"/>
      <c r="F384" s="23"/>
      <c r="G384" s="23"/>
    </row>
    <row r="385" spans="1:7" s="24" customFormat="1" x14ac:dyDescent="0.25">
      <c r="A385" s="75"/>
      <c r="E385" s="76"/>
      <c r="F385" s="23"/>
      <c r="G385" s="23"/>
    </row>
    <row r="386" spans="1:7" s="24" customFormat="1" x14ac:dyDescent="0.25">
      <c r="A386" s="75"/>
      <c r="E386" s="76"/>
      <c r="F386" s="23"/>
      <c r="G386" s="23"/>
    </row>
    <row r="387" spans="1:7" s="24" customFormat="1" x14ac:dyDescent="0.25">
      <c r="A387" s="75"/>
      <c r="E387" s="76"/>
      <c r="F387" s="23"/>
      <c r="G387" s="23"/>
    </row>
    <row r="388" spans="1:7" s="24" customFormat="1" x14ac:dyDescent="0.25">
      <c r="A388" s="75"/>
      <c r="E388" s="76"/>
      <c r="F388" s="23"/>
      <c r="G388" s="23"/>
    </row>
    <row r="389" spans="1:7" s="24" customFormat="1" x14ac:dyDescent="0.25">
      <c r="A389" s="75"/>
      <c r="E389" s="76"/>
      <c r="F389" s="23"/>
      <c r="G389" s="23"/>
    </row>
    <row r="390" spans="1:7" s="24" customFormat="1" x14ac:dyDescent="0.25">
      <c r="A390" s="75"/>
      <c r="E390" s="76"/>
      <c r="F390" s="23"/>
      <c r="G390" s="23"/>
    </row>
    <row r="391" spans="1:7" s="24" customFormat="1" x14ac:dyDescent="0.25">
      <c r="A391" s="75"/>
      <c r="E391" s="76"/>
      <c r="F391" s="23"/>
      <c r="G391" s="23"/>
    </row>
    <row r="392" spans="1:7" s="24" customFormat="1" x14ac:dyDescent="0.25">
      <c r="A392" s="75"/>
      <c r="E392" s="76"/>
      <c r="F392" s="23"/>
      <c r="G392" s="23"/>
    </row>
    <row r="393" spans="1:7" s="24" customFormat="1" x14ac:dyDescent="0.25">
      <c r="A393" s="75"/>
      <c r="E393" s="76"/>
      <c r="F393" s="23"/>
      <c r="G393" s="23"/>
    </row>
    <row r="394" spans="1:7" s="24" customFormat="1" x14ac:dyDescent="0.25">
      <c r="A394" s="75"/>
      <c r="E394" s="76"/>
      <c r="F394" s="23"/>
      <c r="G394" s="23"/>
    </row>
    <row r="395" spans="1:7" s="24" customFormat="1" x14ac:dyDescent="0.25">
      <c r="A395" s="75"/>
      <c r="E395" s="76"/>
      <c r="F395" s="23"/>
      <c r="G395" s="23"/>
    </row>
    <row r="396" spans="1:7" s="24" customFormat="1" x14ac:dyDescent="0.25">
      <c r="A396" s="75"/>
      <c r="E396" s="76"/>
      <c r="F396" s="23"/>
      <c r="G396" s="23"/>
    </row>
    <row r="397" spans="1:7" s="24" customFormat="1" x14ac:dyDescent="0.25">
      <c r="A397" s="75"/>
      <c r="E397" s="76"/>
      <c r="F397" s="23"/>
      <c r="G397" s="23"/>
    </row>
    <row r="398" spans="1:7" s="24" customFormat="1" x14ac:dyDescent="0.25">
      <c r="A398" s="75"/>
      <c r="E398" s="76"/>
      <c r="F398" s="23"/>
      <c r="G398" s="23"/>
    </row>
    <row r="399" spans="1:7" s="24" customFormat="1" x14ac:dyDescent="0.25">
      <c r="A399" s="75"/>
      <c r="E399" s="76"/>
      <c r="F399" s="23"/>
      <c r="G399" s="23"/>
    </row>
    <row r="400" spans="1:7" s="24" customFormat="1" x14ac:dyDescent="0.25">
      <c r="A400" s="75"/>
      <c r="E400" s="76"/>
      <c r="F400" s="23"/>
      <c r="G400" s="23"/>
    </row>
    <row r="401" spans="1:7" s="24" customFormat="1" x14ac:dyDescent="0.25">
      <c r="A401" s="75"/>
      <c r="E401" s="76"/>
      <c r="F401" s="23"/>
      <c r="G401" s="23"/>
    </row>
    <row r="402" spans="1:7" s="24" customFormat="1" x14ac:dyDescent="0.25">
      <c r="A402" s="75"/>
      <c r="E402" s="76"/>
      <c r="F402" s="23"/>
      <c r="G402" s="23"/>
    </row>
    <row r="403" spans="1:7" s="24" customFormat="1" x14ac:dyDescent="0.25">
      <c r="A403" s="75"/>
      <c r="E403" s="76"/>
      <c r="F403" s="23"/>
      <c r="G403" s="23"/>
    </row>
    <row r="404" spans="1:7" s="24" customFormat="1" x14ac:dyDescent="0.25">
      <c r="A404" s="75"/>
      <c r="E404" s="76"/>
      <c r="F404" s="23"/>
      <c r="G404" s="23"/>
    </row>
    <row r="405" spans="1:7" s="24" customFormat="1" x14ac:dyDescent="0.25">
      <c r="A405" s="75"/>
      <c r="E405" s="76"/>
      <c r="F405" s="23"/>
      <c r="G405" s="23"/>
    </row>
    <row r="406" spans="1:7" s="24" customFormat="1" x14ac:dyDescent="0.25">
      <c r="A406" s="75"/>
      <c r="E406" s="76"/>
      <c r="F406" s="23"/>
      <c r="G406" s="23"/>
    </row>
    <row r="407" spans="1:7" s="24" customFormat="1" x14ac:dyDescent="0.25">
      <c r="A407" s="75"/>
      <c r="E407" s="76"/>
      <c r="F407" s="23"/>
      <c r="G407" s="23"/>
    </row>
    <row r="408" spans="1:7" s="24" customFormat="1" x14ac:dyDescent="0.25">
      <c r="A408" s="75"/>
      <c r="E408" s="76"/>
      <c r="F408" s="23"/>
      <c r="G408" s="23"/>
    </row>
    <row r="409" spans="1:7" s="24" customFormat="1" x14ac:dyDescent="0.25">
      <c r="A409" s="75"/>
      <c r="E409" s="76"/>
      <c r="F409" s="23"/>
      <c r="G409" s="23"/>
    </row>
    <row r="410" spans="1:7" s="24" customFormat="1" x14ac:dyDescent="0.25">
      <c r="A410" s="75"/>
      <c r="E410" s="76"/>
      <c r="F410" s="23"/>
      <c r="G410" s="23"/>
    </row>
    <row r="411" spans="1:7" s="24" customFormat="1" x14ac:dyDescent="0.25">
      <c r="A411" s="75"/>
      <c r="E411" s="76"/>
      <c r="F411" s="23"/>
      <c r="G411" s="23"/>
    </row>
    <row r="412" spans="1:7" s="24" customFormat="1" x14ac:dyDescent="0.25">
      <c r="A412" s="75"/>
      <c r="E412" s="76"/>
      <c r="F412" s="23"/>
      <c r="G412" s="23"/>
    </row>
    <row r="413" spans="1:7" s="24" customFormat="1" x14ac:dyDescent="0.25">
      <c r="A413" s="75"/>
      <c r="E413" s="76"/>
      <c r="F413" s="23"/>
      <c r="G413" s="23"/>
    </row>
    <row r="414" spans="1:7" s="24" customFormat="1" x14ac:dyDescent="0.25">
      <c r="A414" s="75"/>
      <c r="E414" s="76"/>
      <c r="F414" s="23"/>
      <c r="G414" s="23"/>
    </row>
    <row r="415" spans="1:7" s="24" customFormat="1" x14ac:dyDescent="0.25">
      <c r="A415" s="75"/>
      <c r="E415" s="76"/>
      <c r="F415" s="23"/>
      <c r="G415" s="23"/>
    </row>
    <row r="416" spans="1:7" s="24" customFormat="1" x14ac:dyDescent="0.25">
      <c r="A416" s="75"/>
      <c r="E416" s="76"/>
      <c r="F416" s="23"/>
      <c r="G416" s="23"/>
    </row>
    <row r="417" spans="1:7" s="24" customFormat="1" x14ac:dyDescent="0.25">
      <c r="A417" s="75"/>
      <c r="E417" s="76"/>
      <c r="F417" s="23"/>
      <c r="G417" s="23"/>
    </row>
    <row r="418" spans="1:7" s="24" customFormat="1" x14ac:dyDescent="0.25">
      <c r="A418" s="75"/>
      <c r="E418" s="76"/>
      <c r="F418" s="23"/>
      <c r="G418" s="23"/>
    </row>
    <row r="419" spans="1:7" s="24" customFormat="1" x14ac:dyDescent="0.25">
      <c r="A419" s="75"/>
      <c r="E419" s="76"/>
      <c r="F419" s="23"/>
      <c r="G419" s="23"/>
    </row>
    <row r="420" spans="1:7" s="24" customFormat="1" x14ac:dyDescent="0.25">
      <c r="A420" s="75"/>
      <c r="E420" s="76"/>
      <c r="F420" s="23"/>
      <c r="G420" s="23"/>
    </row>
    <row r="421" spans="1:7" s="24" customFormat="1" x14ac:dyDescent="0.25">
      <c r="A421" s="75"/>
      <c r="E421" s="76"/>
      <c r="F421" s="23"/>
      <c r="G421" s="23"/>
    </row>
    <row r="422" spans="1:7" s="24" customFormat="1" x14ac:dyDescent="0.25">
      <c r="A422" s="75"/>
      <c r="E422" s="76"/>
      <c r="F422" s="23"/>
      <c r="G422" s="23"/>
    </row>
    <row r="423" spans="1:7" s="24" customFormat="1" x14ac:dyDescent="0.25">
      <c r="A423" s="75"/>
      <c r="E423" s="76"/>
      <c r="F423" s="23"/>
      <c r="G423" s="23"/>
    </row>
  </sheetData>
  <autoFilter ref="A1:F1" xr:uid="{00000000-0009-0000-0000-000001000000}"/>
  <mergeCells count="2">
    <mergeCell ref="A115:A116"/>
    <mergeCell ref="A148:A153"/>
  </mergeCells>
  <conditionalFormatting sqref="E2:E16 E18:E27 E29 E31:E32 E34:E37 E39 E41:E44 E46 E48:E53 E55:E60 E62:E70 E72 E74:E78 E80:E82 E84 E86 E88 E90:E96 E98 E100:E104 E106:E108 E110 E118:E120 E122:E123 E125:E126 E128:E129 E131 E133:E154 E156:E159 E161 E163 E165:E167 E169:E175 E177:E178 E180:E184 E186:E192 E194:E195">
    <cfRule type="cellIs" dxfId="7" priority="10" operator="equal">
      <formula>"N/A"</formula>
    </cfRule>
    <cfRule type="cellIs" dxfId="6" priority="11" operator="equal">
      <formula>"Pågående"</formula>
    </cfRule>
    <cfRule type="cellIs" dxfId="5" priority="12" operator="equal">
      <formula>"NOK"</formula>
    </cfRule>
    <cfRule type="cellIs" dxfId="4" priority="13" operator="equal">
      <formula>"OK"</formula>
    </cfRule>
  </conditionalFormatting>
  <conditionalFormatting sqref="E112:E116">
    <cfRule type="cellIs" dxfId="3" priority="2" operator="equal">
      <formula>"N/A"</formula>
    </cfRule>
    <cfRule type="cellIs" dxfId="2" priority="3" operator="equal">
      <formula>"Pågående"</formula>
    </cfRule>
    <cfRule type="cellIs" dxfId="1" priority="4" operator="equal">
      <formula>"NOK"</formula>
    </cfRule>
    <cfRule type="cellIs" dxfId="0" priority="5" operator="equal">
      <formula>"OK"</formula>
    </cfRule>
  </conditionalFormatting>
  <hyperlinks>
    <hyperlink ref="A2" r:id="rId1" xr:uid="{00000000-0004-0000-0100-000000000000}"/>
    <hyperlink ref="A27" r:id="rId2" xr:uid="{00000000-0004-0000-0100-000001000000}"/>
    <hyperlink ref="A33" r:id="rId3" xr:uid="{00000000-0004-0000-0100-000002000000}"/>
    <hyperlink ref="A40" r:id="rId4" xr:uid="{00000000-0004-0000-0100-000003000000}"/>
    <hyperlink ref="A51" r:id="rId5" xr:uid="{00000000-0004-0000-0100-000004000000}"/>
    <hyperlink ref="A54" r:id="rId6" xr:uid="{00000000-0004-0000-0100-000005000000}"/>
    <hyperlink ref="A96" r:id="rId7" xr:uid="{00000000-0004-0000-0100-000006000000}"/>
    <hyperlink ref="A104" r:id="rId8" xr:uid="{00000000-0004-0000-0100-000007000000}"/>
    <hyperlink ref="A111" r:id="rId9" xr:uid="{00000000-0004-0000-0100-000008000000}"/>
    <hyperlink ref="A115" r:id="rId10" xr:uid="{00000000-0004-0000-0100-000009000000}"/>
    <hyperlink ref="A117" r:id="rId11" xr:uid="{00000000-0004-0000-0100-00000A000000}"/>
    <hyperlink ref="A142" r:id="rId12" xr:uid="{00000000-0004-0000-0100-00000B000000}"/>
    <hyperlink ref="A148" r:id="rId13" xr:uid="{00000000-0004-0000-0100-00000C000000}"/>
    <hyperlink ref="A154" r:id="rId14" xr:uid="{00000000-0004-0000-0100-00000D000000}"/>
    <hyperlink ref="A179" r:id="rId15" xr:uid="{00000000-0004-0000-0100-00000E000000}"/>
    <hyperlink ref="A195" r:id="rId16" xr:uid="{00000000-0004-0000-0100-00000F000000}"/>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Info!$A$6:$E$6</xm:f>
          </x14:formula1>
          <x14:formula2>
            <xm:f>0</xm:f>
          </x14:formula2>
          <xm:sqref>E2:E3 E5:E16 E18:E27 E29 E31:E32 E34:E37 E39 E41:E44 E46 E48:E53 E55:E60 E62:E70 E72 E74:E78 E80:E82 E84 E86 E88 E90:E96 E98 E100:E104 E106:E108 E110 E112:E116 E118:E120 E122:E123 E125:E126 E128:E129 E131 E133:E154 E156:E159 E161 E163 E165:E167 E169:E175 E177:E178 E180:E184 E186:E192 E194:E195</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41</TotalTime>
  <Application>Microsoft Excel</Application>
  <DocSecurity>0</DocSecurity>
  <ScaleCrop>false</ScaleCrop>
  <HeadingPairs>
    <vt:vector size="2" baseType="variant">
      <vt:variant>
        <vt:lpstr>Kalkylblad</vt:lpstr>
      </vt:variant>
      <vt:variant>
        <vt:i4>2</vt:i4>
      </vt:variant>
    </vt:vector>
  </HeadingPairs>
  <TitlesOfParts>
    <vt:vector size="2" baseType="lpstr">
      <vt:lpstr>Info</vt:lpstr>
      <vt:lpstr>Kravlista REST API profil</vt:lpstr>
    </vt:vector>
  </TitlesOfParts>
  <Company>Bolagsverket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Fredrik Vesström</dc:creator>
  <dc:description/>
  <cp:lastModifiedBy>Johansson Mats</cp:lastModifiedBy>
  <cp:revision>6</cp:revision>
  <dcterms:created xsi:type="dcterms:W3CDTF">2023-02-02T13:03:48Z</dcterms:created>
  <dcterms:modified xsi:type="dcterms:W3CDTF">2026-10-06T11:35:44Z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0x0101008239AB5D3D2647B580F011DA2F35611101000A86203C37271B42A7865B88E83F44AE</vt:lpwstr>
  </property>
  <property fmtid="{D5CDD505-2E9C-101B-9397-08002B2CF9AE}" pid="3" name="MSB_DocumentType">
    <vt:lpwstr/>
  </property>
  <property fmtid="{D5CDD505-2E9C-101B-9397-08002B2CF9AE}" pid="4" name="MSB_SiteBusinessProcess">
    <vt:lpwstr>1;#Standard|42db7290-f92b-446b-999c-1bee6d848af0</vt:lpwstr>
  </property>
</Properties>
</file>